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wnload\"/>
    </mc:Choice>
  </mc:AlternateContent>
  <xr:revisionPtr revIDLastSave="0" documentId="13_ncr:1_{A1524335-8548-405F-92D5-382F1E0A0F51}" xr6:coauthVersionLast="47" xr6:coauthVersionMax="47" xr10:uidLastSave="{00000000-0000-0000-0000-000000000000}"/>
  <bookViews>
    <workbookView xWindow="-108" yWindow="-108" windowWidth="23256" windowHeight="12456" tabRatio="500" xr2:uid="{00000000-000D-0000-FFFF-FFFF00000000}"/>
  </bookViews>
  <sheets>
    <sheet name="Calculator" sheetId="1" r:id="rId1"/>
    <sheet name="MCA Fees" sheetId="2" r:id="rId2"/>
    <sheet name="Stamp Duty" sheetId="3" r:id="rId3"/>
  </sheets>
  <definedNames>
    <definedName name="_xlnm.Print_Area" localSheetId="0">Calculator!$B$2:$F$55</definedName>
    <definedName name="StateList">'Stamp Duty'!$B$8:$B$42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42" i="3" l="1"/>
  <c r="P42" i="3" s="1"/>
  <c r="O41" i="3"/>
  <c r="P41" i="3" s="1"/>
  <c r="O40" i="3"/>
  <c r="P40" i="3" s="1"/>
  <c r="O39" i="3"/>
  <c r="P39" i="3" s="1"/>
  <c r="O38" i="3"/>
  <c r="P38" i="3" s="1"/>
  <c r="O37" i="3"/>
  <c r="P37" i="3" s="1"/>
  <c r="O36" i="3"/>
  <c r="P36" i="3" s="1"/>
  <c r="O35" i="3"/>
  <c r="P35" i="3" s="1"/>
  <c r="O34" i="3"/>
  <c r="P34" i="3" s="1"/>
  <c r="O33" i="3"/>
  <c r="P33" i="3" s="1"/>
  <c r="O32" i="3"/>
  <c r="P32" i="3" s="1"/>
  <c r="O31" i="3"/>
  <c r="P31" i="3" s="1"/>
  <c r="O30" i="3"/>
  <c r="P30" i="3" s="1"/>
  <c r="O29" i="3"/>
  <c r="P29" i="3" s="1"/>
  <c r="O28" i="3"/>
  <c r="P28" i="3" s="1"/>
  <c r="O27" i="3"/>
  <c r="P27" i="3" s="1"/>
  <c r="O26" i="3"/>
  <c r="P26" i="3" s="1"/>
  <c r="O25" i="3"/>
  <c r="P25"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O8" i="3"/>
  <c r="P8" i="3" s="1"/>
  <c r="L32" i="2"/>
  <c r="J32" i="2"/>
  <c r="K32" i="2" s="1"/>
  <c r="H32" i="2"/>
  <c r="E32" i="2"/>
  <c r="L31" i="2"/>
  <c r="J31" i="2"/>
  <c r="K31" i="2" s="1"/>
  <c r="H31" i="2"/>
  <c r="E31" i="2"/>
  <c r="L30" i="2"/>
  <c r="J30" i="2"/>
  <c r="H30" i="2"/>
  <c r="E30" i="2"/>
  <c r="L29" i="2"/>
  <c r="J29" i="2"/>
  <c r="K29" i="2" s="1"/>
  <c r="H29" i="2"/>
  <c r="E29" i="2"/>
  <c r="L28" i="2"/>
  <c r="J28" i="2"/>
  <c r="K28" i="2" s="1"/>
  <c r="H28" i="2"/>
  <c r="E28" i="2"/>
  <c r="L27" i="2"/>
  <c r="J27" i="2"/>
  <c r="K27" i="2" s="1"/>
  <c r="H27" i="2"/>
  <c r="E27" i="2"/>
  <c r="L26" i="2"/>
  <c r="J26" i="2"/>
  <c r="K26" i="2" s="1"/>
  <c r="H26" i="2"/>
  <c r="E26" i="2"/>
  <c r="L25" i="2"/>
  <c r="J25" i="2"/>
  <c r="K25" i="2" s="1"/>
  <c r="H25" i="2"/>
  <c r="E25" i="2"/>
  <c r="L24" i="2"/>
  <c r="J24" i="2"/>
  <c r="K24" i="2" s="1"/>
  <c r="H24" i="2"/>
  <c r="E24" i="2"/>
  <c r="L23" i="2"/>
  <c r="K23" i="2"/>
  <c r="J23" i="2"/>
  <c r="H23" i="2"/>
  <c r="E23" i="2"/>
  <c r="L22" i="2"/>
  <c r="K22" i="2"/>
  <c r="J22" i="2"/>
  <c r="H22" i="2"/>
  <c r="E22" i="2"/>
  <c r="L21" i="2"/>
  <c r="K21" i="2"/>
  <c r="J21" i="2"/>
  <c r="H21" i="2"/>
  <c r="E21" i="2"/>
  <c r="L20" i="2"/>
  <c r="K20" i="2"/>
  <c r="J20" i="2"/>
  <c r="H20" i="2"/>
  <c r="E20" i="2"/>
  <c r="L19" i="2"/>
  <c r="K19" i="2"/>
  <c r="J19" i="2"/>
  <c r="H19" i="2"/>
  <c r="E19" i="2"/>
  <c r="L18" i="2"/>
  <c r="K18" i="2"/>
  <c r="J18" i="2"/>
  <c r="H18" i="2"/>
  <c r="N18" i="2" s="1"/>
  <c r="E18" i="2"/>
  <c r="L17" i="2"/>
  <c r="K17" i="2"/>
  <c r="J17" i="2"/>
  <c r="H17" i="2"/>
  <c r="E17" i="2"/>
  <c r="L16" i="2"/>
  <c r="K16" i="2"/>
  <c r="J16" i="2"/>
  <c r="H16" i="2"/>
  <c r="E16" i="2"/>
  <c r="L15" i="2"/>
  <c r="K15" i="2"/>
  <c r="J15" i="2"/>
  <c r="H15" i="2"/>
  <c r="N15" i="2" s="1"/>
  <c r="E15" i="2"/>
  <c r="L14" i="2"/>
  <c r="K14" i="2"/>
  <c r="J14" i="2"/>
  <c r="H14" i="2"/>
  <c r="E14" i="2"/>
  <c r="M14" i="2" s="1"/>
  <c r="L13" i="2"/>
  <c r="K13" i="2"/>
  <c r="J13" i="2"/>
  <c r="H13" i="2"/>
  <c r="N13" i="2" s="1"/>
  <c r="E13" i="2"/>
  <c r="M13" i="2" s="1"/>
  <c r="L12" i="2"/>
  <c r="K12" i="2"/>
  <c r="J12" i="2"/>
  <c r="H12" i="2"/>
  <c r="E12" i="2"/>
  <c r="L11" i="2"/>
  <c r="K11" i="2"/>
  <c r="J11" i="2"/>
  <c r="H11" i="2"/>
  <c r="N11" i="2" s="1"/>
  <c r="E11" i="2"/>
  <c r="M11" i="2" s="1"/>
  <c r="L10" i="2"/>
  <c r="K10" i="2"/>
  <c r="J10" i="2"/>
  <c r="H10" i="2"/>
  <c r="N10" i="2" s="1"/>
  <c r="E10" i="2"/>
  <c r="M10" i="2" s="1"/>
  <c r="L9" i="2"/>
  <c r="K9" i="2"/>
  <c r="J9" i="2"/>
  <c r="H9" i="2"/>
  <c r="N9" i="2" s="1"/>
  <c r="E9" i="2"/>
  <c r="M9" i="2" s="1"/>
  <c r="L8" i="2"/>
  <c r="K8" i="2"/>
  <c r="J8" i="2"/>
  <c r="H8" i="2"/>
  <c r="E8" i="2"/>
  <c r="C40" i="1"/>
  <c r="C42" i="1" s="1"/>
  <c r="C35" i="1"/>
  <c r="C37" i="1" s="1"/>
  <c r="C31" i="1"/>
  <c r="C32" i="1" s="1"/>
  <c r="C19" i="1"/>
  <c r="C18" i="1"/>
  <c r="C20" i="1" s="1"/>
  <c r="C15" i="1"/>
  <c r="C14" i="1"/>
  <c r="C21" i="1" s="1"/>
  <c r="M16" i="2" l="1"/>
  <c r="N16" i="2"/>
  <c r="M19" i="2"/>
  <c r="N19" i="2"/>
  <c r="N14" i="2"/>
  <c r="M18" i="2"/>
  <c r="N20" i="2"/>
  <c r="M20" i="2"/>
  <c r="N12" i="2"/>
  <c r="M12" i="2"/>
  <c r="N8" i="2"/>
  <c r="M8" i="2"/>
  <c r="M32" i="2"/>
  <c r="M24" i="2"/>
  <c r="M22" i="2"/>
  <c r="M28" i="2"/>
  <c r="N22" i="2"/>
  <c r="M29" i="2"/>
  <c r="M27" i="2"/>
  <c r="M26" i="2"/>
  <c r="M25" i="2"/>
  <c r="N17" i="2"/>
  <c r="M17" i="2"/>
  <c r="N32" i="2"/>
  <c r="N31" i="2"/>
  <c r="M31" i="2"/>
  <c r="N23" i="2"/>
  <c r="M23" i="2"/>
  <c r="N21" i="2"/>
  <c r="M21" i="2"/>
  <c r="M15" i="2"/>
  <c r="M30" i="2"/>
  <c r="K30" i="2"/>
  <c r="N30" i="2" s="1"/>
  <c r="C45" i="1"/>
  <c r="C47" i="1" s="1"/>
  <c r="C53" i="1" s="1"/>
  <c r="C52" i="1"/>
  <c r="C26" i="1"/>
  <c r="C25" i="1"/>
  <c r="E24" i="1"/>
  <c r="C24" i="1"/>
  <c r="N29" i="2"/>
  <c r="N26" i="2"/>
  <c r="N25" i="2"/>
  <c r="N28" i="2"/>
  <c r="N27" i="2"/>
  <c r="N24" i="2"/>
  <c r="C27" i="1" l="1"/>
  <c r="C51" i="1" s="1"/>
  <c r="C5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6" authorId="0" shapeId="0" xr:uid="{00000000-0006-0000-0000-000001000000}">
      <text>
        <r>
          <rPr>
            <sz val="10"/>
            <rFont val="Arial"/>
            <family val="2"/>
          </rPr>
          <t>Any figure. The Rule 12 engine computes the exact fee at any capital — it is not restricted to the published slabs.</t>
        </r>
      </text>
    </comment>
    <comment ref="C7" authorId="0" shapeId="0" xr:uid="{00000000-0006-0000-0000-000002000000}">
      <text>
        <r>
          <rPr>
            <sz val="10"/>
            <rFont val="Arial"/>
            <family val="2"/>
          </rPr>
          <t>The concessional OPC / small company scale applies only up to Rs. 50,00,000 of nominal capital. Above that the general scale governs and this selection stops mattering.</t>
        </r>
      </text>
    </comment>
    <comment ref="C8" authorId="0" shapeId="0" xr:uid="{00000000-0006-0000-0000-000003000000}">
      <text>
        <r>
          <rPr>
            <sz val="10"/>
            <rFont val="Arial"/>
            <family val="2"/>
          </rPr>
          <t>Drives all three stamp duty components.</t>
        </r>
      </text>
    </comment>
    <comment ref="C9" authorId="0" shapeId="0" xr:uid="{00000000-0006-0000-0000-000004000000}">
      <text>
        <r>
          <rPr>
            <sz val="10"/>
            <rFont val="Arial"/>
            <family val="2"/>
          </rPr>
          <t>Several States exempt Section 8 companies from MOA and AOA stamp duty. Treatment per State is on the 'Stamp Duty' sheet.</t>
        </r>
      </text>
    </comment>
    <comment ref="C10" authorId="0" shapeId="0" xr:uid="{00000000-0006-0000-0000-000005000000}">
      <text>
        <r>
          <rPr>
            <sz val="10"/>
            <rFont val="Arial"/>
            <family val="2"/>
          </rPr>
          <t>Rs. 15,00,000 per G.S.R. 380(E). The Table of Fees as reproduced in the ICSI e-book shows the base scale starting at Rs. 10,00,000 — see 'Notes &amp; Verification'. Change this cell if the threshold is revised.</t>
        </r>
      </text>
    </comment>
    <comment ref="C11" authorId="0" shapeId="0" xr:uid="{00000000-0006-0000-0000-000006000000}">
      <text>
        <r>
          <rPr>
            <sz val="10"/>
            <rFont val="Arial"/>
            <family val="2"/>
          </rPr>
          <t>Rs. 1,000 per application. Not payable where the name is reserved within Part B itself.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9" authorId="0" shapeId="0" xr:uid="{00000000-0006-0000-0200-000001000000}">
      <text>
        <r>
          <rPr>
            <sz val="10"/>
            <rFont val="Arial"/>
            <family val="2"/>
          </rPr>
          <t>RESOLVED at Rs 100. Two third-party calculators had used Rs 300 (see 'Benchmark'). A 2026-27 Gujarat stamp duty guide confirms the MOA attracts a flat Rs 100, agreeing with the MCA database. The calculators were wrong. Article 12 of Schedule I (Articles of Association) was amended in 2025; Article 10 (Memorandum) was not.</t>
        </r>
      </text>
    </comment>
  </commentList>
</comments>
</file>

<file path=xl/sharedStrings.xml><?xml version="1.0" encoding="utf-8"?>
<sst xmlns="http://schemas.openxmlformats.org/spreadsheetml/2006/main" count="252" uniqueCount="161">
  <si>
    <t>Incorporation Cost Calculator — MCA Filing Fee + State Stamp Duty</t>
  </si>
  <si>
    <t>Rule 12, Companies (Registration Offices and Fees) Rules, 2014 (Table of Fees) and the State Stamp Acts  |  All amounts in Indian Rupees</t>
  </si>
  <si>
    <t>Cells in blue type on a yellow fill are inputs — edit those only. Every other figure is computed; do not overwrite.</t>
  </si>
  <si>
    <t>INPUTS</t>
  </si>
  <si>
    <t>Authorised Share Capital (Rs.)</t>
  </si>
  <si>
    <t>Company Category</t>
  </si>
  <si>
    <t>OPC / Small Company</t>
  </si>
  <si>
    <t>State / Union Territory of Registered Office</t>
  </si>
  <si>
    <t>Haryana</t>
  </si>
  <si>
    <t>Is this a Section 8 company?</t>
  </si>
  <si>
    <t>No</t>
  </si>
  <si>
    <t>Nil-fee threshold for incorporation (Rs.)</t>
  </si>
  <si>
    <t>Include name reservation fee (SPICe+ Part A / RUN)?</t>
  </si>
  <si>
    <t>Yes</t>
  </si>
  <si>
    <t>Number of Digital Signature Certificates required</t>
  </si>
  <si>
    <t>Professional fee — Company Avenue Advisory (Rs.)</t>
  </si>
  <si>
    <t>Helper — fee column offset on 'MCA Fees' (0 = general; 3 = OPC / Small)</t>
  </si>
  <si>
    <t>Helper — State row index on 'Stamp Duty'</t>
  </si>
  <si>
    <t>A.  MCA STATUTORY FEE  —  computed per Rule 12, Table of Fees</t>
  </si>
  <si>
    <t>Registration fee on Memorandum of Association</t>
  </si>
  <si>
    <t>Table A, item 1(b) / 2(b)</t>
  </si>
  <si>
    <t>Filing fee — E-Form INC-32 (SPICe+) &amp; Articles of Association</t>
  </si>
  <si>
    <t>Table A, item 5</t>
  </si>
  <si>
    <t>Sub-total — MCA statutory fee</t>
  </si>
  <si>
    <t>Control — variance against the published MCA slab table (at listed slabs only)</t>
  </si>
  <si>
    <t>Nil variance = engine agrees with the published table</t>
  </si>
  <si>
    <t>B.  STATE STAMP DUTY</t>
  </si>
  <si>
    <t>Stamp duty on e-Form INC-32 (SPICe+)</t>
  </si>
  <si>
    <t>Stamp duty on Memorandum of Association</t>
  </si>
  <si>
    <t>Stamp duty on Articles of Association</t>
  </si>
  <si>
    <t>Sub-total — State stamp duty</t>
  </si>
  <si>
    <t>C.  OTHER STATUTORY CHARGES</t>
  </si>
  <si>
    <t>PAN/TAN</t>
  </si>
  <si>
    <t>Name reservation (SPICe+ Part A / RUN) — Rs. 1,000</t>
  </si>
  <si>
    <t>Table of Fees, item II, note (1)</t>
  </si>
  <si>
    <t>Sub-total — other statutory charges</t>
  </si>
  <si>
    <t>D.  DIGITAL SIGNATURE CERTIFICATES (DSC)</t>
  </si>
  <si>
    <t>Number of DSCs required (per input above)</t>
  </si>
  <si>
    <t>Cost per DSC — Class 3, two-year validity (Rs.)</t>
  </si>
  <si>
    <t>Vendor-quoted rate — not a statutory charge. Update to the actual certifying-authority invoice.</t>
  </si>
  <si>
    <t>Sub-total — DSC cost</t>
  </si>
  <si>
    <t>E.  PROFESSIONAL FEES</t>
  </si>
  <si>
    <t>Professional fee — incorporation engagement</t>
  </si>
  <si>
    <t>As quoted to the client; taken from the input block.</t>
  </si>
  <si>
    <t>Sub-total — professional fees</t>
  </si>
  <si>
    <t>F.  GOODS AND SERVICES TAX</t>
  </si>
  <si>
    <t>Taxable value — professional fees and DSC (D + E)</t>
  </si>
  <si>
    <t>GST rate</t>
  </si>
  <si>
    <t>SAC 998222 — 18%. Intra-State: CGST 9% + SGST 9%. Inter-State: IGST 18%.</t>
  </si>
  <si>
    <t>GST amount</t>
  </si>
  <si>
    <t>Memo — GST is not charged on Sections A to C</t>
  </si>
  <si>
    <t>pure agent</t>
  </si>
  <si>
    <t>MCA fees and stamp duty recovered at actuals are excluded from the value of supply under Rule 33 of the CGST Rules, 2017, subject to the pure-agent conditions being met and the disbursement being separately indicated on the invoice.</t>
  </si>
  <si>
    <t>G.  TOTAL COST OF INCORPORATION</t>
  </si>
  <si>
    <t>Statutory fees and stamp duty — pass-through (A + B + C)</t>
  </si>
  <si>
    <t>Recovered at actuals as a pure agent; no GST added.</t>
  </si>
  <si>
    <t>Professional fees and DSC — taxable services (D + E)</t>
  </si>
  <si>
    <t>CAA supply — GST applies.</t>
  </si>
  <si>
    <t>GST on taxable services (F)</t>
  </si>
  <si>
    <t>GRAND TOTAL PAYABLE BY THE CLIENT</t>
  </si>
  <si>
    <t>MCA Filing Fees for Incorporation of a Company having Share Capital</t>
  </si>
  <si>
    <t>E-Form INC-32 (SPICe+), Memorandum of Association &amp; Articles of Association  |  Amounts in Indian Rupees</t>
  </si>
  <si>
    <t>Authorised Capital (₹)</t>
  </si>
  <si>
    <t>Company Other than OPC / Small Company</t>
  </si>
  <si>
    <t>Reconciliation to the Statutory Formula (Rule 12)</t>
  </si>
  <si>
    <t>Memorandum of Association</t>
  </si>
  <si>
    <t>E-Form INC-32 (SPICe+) &amp; AOA</t>
  </si>
  <si>
    <t>Total</t>
  </si>
  <si>
    <t>Rule 12 —
MOA (General)</t>
  </si>
  <si>
    <t>Rule 12 —
MOA (OPC/Small)</t>
  </si>
  <si>
    <t>Rule 12 —
INC-32 &amp; AOA</t>
  </si>
  <si>
    <t>Variance
General</t>
  </si>
  <si>
    <t>Variance
OPC/Small</t>
  </si>
  <si>
    <t>The INC-32 &amp; AOA column is the combined fee of E-Form INC-32 (SPICe+) and the AOA. E-Form INC-32 itself carries a fee of Rs. 500; the AOA fee follows the share capital slab.</t>
  </si>
  <si>
    <t>Source: MCA fee table supplied by user, last updated 09.04.2024. Total columns computed as MOA + (INC-32 &amp; AOA).</t>
  </si>
  <si>
    <t>RESOLVED — the jump at Rs. 60,00,000 in the OPC / Small Company table (Rs. 82,500 to Rs. 1,66,500) is correct. Table A, item 1(b) confines the concessional OPC / small company scale to nominal capital between Rs. 10,00,000 and Rs. 50,00,000. Above Rs. 50,00,000 there is no concessional rate and item 2(b) governs, so the two columns converge. This was flagged for verification in the earlier version and is now closed.</t>
  </si>
  <si>
    <t>The Variance columns must read nil on every row. A non-nil figure means the published table and the statutory formula disagree at that slab and the row should be investigated before the workbook is relied on.</t>
  </si>
  <si>
    <t>State-wise Stamp Duty on Incorporation Documents</t>
  </si>
  <si>
    <t>Companies HAVING share capital, other than Section 8  |  Duty computed at the authorised capital entered on the 'Calculator' sheet</t>
  </si>
  <si>
    <t>State / Union Territory</t>
  </si>
  <si>
    <t>Duty on
e-Form (₹)</t>
  </si>
  <si>
    <t>Duty on
MOA (₹)</t>
  </si>
  <si>
    <t>AOA
Rule</t>
  </si>
  <si>
    <t>P1</t>
  </si>
  <si>
    <t>P2</t>
  </si>
  <si>
    <t>Rate</t>
  </si>
  <si>
    <t>Minimum</t>
  </si>
  <si>
    <t>Maximum</t>
  </si>
  <si>
    <t>Block Size</t>
  </si>
  <si>
    <t>Per Block</t>
  </si>
  <si>
    <t>AOA Rule as Stated in Source</t>
  </si>
  <si>
    <t>Section 8
Treatment</t>
  </si>
  <si>
    <t>AOA Duty at
Entered Capital</t>
  </si>
  <si>
    <t>Total Stamp Duty
at Entered Capital</t>
  </si>
  <si>
    <t>Andaman and Nicobar Islands</t>
  </si>
  <si>
    <t>FLAT</t>
  </si>
  <si>
    <t>Flat Rs. 300</t>
  </si>
  <si>
    <t>NIL</t>
  </si>
  <si>
    <t>Andhra Pradesh</t>
  </si>
  <si>
    <t>PCT</t>
  </si>
  <si>
    <t>0.15% of authorised capital, min Rs. 1,000, max Rs. 5,00,000</t>
  </si>
  <si>
    <t>SAME</t>
  </si>
  <si>
    <t>Arunachal Pradesh</t>
  </si>
  <si>
    <t>Flat Rs. 500</t>
  </si>
  <si>
    <t>Assam</t>
  </si>
  <si>
    <t>Flat Rs. 310</t>
  </si>
  <si>
    <t>Bihar</t>
  </si>
  <si>
    <t>Higher of Rs. 1,000 or 0.15% of authorised capital, max Rs. 5,00,000</t>
  </si>
  <si>
    <t>Chandigarh</t>
  </si>
  <si>
    <t>Flat Rs. 1,000</t>
  </si>
  <si>
    <t>Chhattisgarh</t>
  </si>
  <si>
    <t>Dadra and Nagar Haveli</t>
  </si>
  <si>
    <t>Flat Rs. 25</t>
  </si>
  <si>
    <t>Daman and Diu</t>
  </si>
  <si>
    <t>BLOCK</t>
  </si>
  <si>
    <t>Rs. 1,000 for every Rs. 5,00,000 of authorised capital or part thereof</t>
  </si>
  <si>
    <t>Delhi</t>
  </si>
  <si>
    <t>0.15% of authorised capital, max Rs. 25,00,000</t>
  </si>
  <si>
    <t>Goa</t>
  </si>
  <si>
    <t>Gujarat</t>
  </si>
  <si>
    <t>0.5% of authorised capital, max Rs. 15,00,000 — cap raised from Rs. 5,00,000 by the Gujarat Stamp (Amendment) Act, 2025, Article 12 of Schedule I</t>
  </si>
  <si>
    <t>SLAB1L</t>
  </si>
  <si>
    <t>Rs. 60 if authorised capital up to Rs. 1,00,000; Rs. 120 if above</t>
  </si>
  <si>
    <t>Himachal Pradesh</t>
  </si>
  <si>
    <t>Jammu and Kashmir</t>
  </si>
  <si>
    <t>Rs. 150 if authorised capital up to Rs. 1,00,000; Rs. 300 if above</t>
  </si>
  <si>
    <t>Jharkhand</t>
  </si>
  <si>
    <t>Flat Rs. 105</t>
  </si>
  <si>
    <t>Karnataka</t>
  </si>
  <si>
    <t>Rs. 500 for every Rs. 10,00,000 of authorised capital or part thereof</t>
  </si>
  <si>
    <t>Kerala</t>
  </si>
  <si>
    <t>KERALA</t>
  </si>
  <si>
    <t>Up to Rs. 10 lakh: Rs. 2,000; above Rs. 10 lakh up to Rs. 25 lakh: Rs. 5,000; above Rs. 25 lakh: 0.5% of authorised capital</t>
  </si>
  <si>
    <t>Lakshadweep</t>
  </si>
  <si>
    <t>Madhya Pradesh</t>
  </si>
  <si>
    <t>0.15% of authorised capital, min Rs. 5,000, max Rs. 25,00,000</t>
  </si>
  <si>
    <t>Maharashtra</t>
  </si>
  <si>
    <t>Rs. 1,000 for every Rs. 5,00,000 of authorised capital or part thereof, max Rs. 50,00,000</t>
  </si>
  <si>
    <t>Manipur</t>
  </si>
  <si>
    <t>Flat Rs. 150</t>
  </si>
  <si>
    <t>Meghalaya</t>
  </si>
  <si>
    <t>Mizoram</t>
  </si>
  <si>
    <t>Nagaland</t>
  </si>
  <si>
    <t>Odisha</t>
  </si>
  <si>
    <t>Puducherry</t>
  </si>
  <si>
    <t>Punjab</t>
  </si>
  <si>
    <t>Rs. 5,000 if authorised capital up to Rs. 1,00,000; Rs. 10,000 if above</t>
  </si>
  <si>
    <t>Rajasthan</t>
  </si>
  <si>
    <t>0.5% of authorised capital (no statutory cap stated in the source)</t>
  </si>
  <si>
    <t>Tamil Nadu</t>
  </si>
  <si>
    <t>Telangana</t>
  </si>
  <si>
    <t>Tripura</t>
  </si>
  <si>
    <t>Uttar Pradesh</t>
  </si>
  <si>
    <t>Uttarakhand</t>
  </si>
  <si>
    <t>West Bengal</t>
  </si>
  <si>
    <t>Columns F to L are rule parameters driving the AOA computation — P1 is the flat or lower-slab amount, P2 the higher-slab amount where a Rs. 1,00,000 threshold applies. Where no statutory cap is stated in the source, Maximum is set to Rs. 1,00,00,00,000 so the cap does not bind.</t>
  </si>
  <si>
    <t>Section 8 treatment — NIL: the State exempts Section 8 companies from MOA and AOA stamp duty (duty on the e-Form remains payable). SAME: the source states the general rules also apply to Section 8 companies having share capital. VERIFY: the source is silent or the State is absent from the database.</t>
  </si>
  <si>
    <t>Source: MCA state-wise stamp duty database for eForm INC-2/INC-7/INC-29, MoA, AoA and SH-7, as reproduced at taxguru.in (published 28.11.2020). Rules stated for INC-2/INC-7/INC-29 have been applied to SPICe+ (INC-32) — confirm this mapping before client use. Sikkim and Ladakh do not appear in the source.</t>
  </si>
  <si>
    <t>Category</t>
  </si>
  <si>
    <t>MCA Fees</t>
  </si>
  <si>
    <t>Stamp Duty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</si>
</sst>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0\);\-"/>
    <numFmt numFmtId="165" formatCode="0.0%"/>
    <numFmt numFmtId="166" formatCode="0.000%"/>
  </numFmts>
  <fonts count="23" x14ac:knownFonts="1">
    <font>
      <sz val="11"/>
      <color theme="1"/>
      <name val="Calibri"/>
      <family val="2"/>
      <charset val="1"/>
    </font>
    <font>
      <sz val="10"/>
      <name val="Arial"/>
      <family val="2"/>
    </font>
    <font>
      <b/>
      <sz val="14"/>
      <color rgb="FFFFFFFF"/>
      <name val="Arial"/>
      <family val="2"/>
      <charset val="1"/>
    </font>
    <font>
      <i/>
      <sz val="9"/>
      <color rgb="FFFFFFFF"/>
      <name val="Arial"/>
      <family val="2"/>
      <charset val="1"/>
    </font>
    <font>
      <sz val="9"/>
      <color rgb="FF808080"/>
      <name val="Arial"/>
      <family val="2"/>
    </font>
    <font>
      <b/>
      <sz val="11"/>
      <color rgb="FF1F3864"/>
      <name val="Arial"/>
      <family val="2"/>
      <charset val="1"/>
    </font>
    <font>
      <sz val="10"/>
      <name val="Arial"/>
      <family val="2"/>
      <charset val="1"/>
    </font>
    <font>
      <b/>
      <sz val="11"/>
      <color rgb="FF0000FF"/>
      <name val="Arial"/>
      <family val="2"/>
      <charset val="1"/>
    </font>
    <font>
      <sz val="10"/>
      <name val="Arial"/>
      <family val="2"/>
    </font>
    <font>
      <b/>
      <sz val="11"/>
      <color rgb="FF0000FF"/>
      <name val="Arial"/>
      <family val="2"/>
    </font>
    <font>
      <i/>
      <sz val="9"/>
      <color rgb="FF808080"/>
      <name val="Arial"/>
      <family val="2"/>
      <charset val="1"/>
    </font>
    <font>
      <b/>
      <sz val="10"/>
      <name val="Arial"/>
      <family val="2"/>
      <charset val="1"/>
    </font>
    <font>
      <b/>
      <sz val="11"/>
      <color rgb="FF1F3864"/>
      <name val="Arial"/>
      <family val="2"/>
    </font>
    <font>
      <b/>
      <sz val="10"/>
      <name val="Arial"/>
      <family val="2"/>
    </font>
    <font>
      <b/>
      <sz val="11"/>
      <color rgb="FFFFFFFF"/>
      <name val="Arial"/>
      <family val="2"/>
    </font>
    <font>
      <b/>
      <sz val="9"/>
      <color rgb="FFFFFFFF"/>
      <name val="Arial"/>
      <family val="2"/>
      <charset val="1"/>
    </font>
    <font>
      <b/>
      <sz val="9"/>
      <color rgb="FF1F3864"/>
      <name val="Arial"/>
      <family val="2"/>
      <charset val="1"/>
    </font>
    <font>
      <sz val="9"/>
      <name val="Arial"/>
      <family val="2"/>
      <charset val="1"/>
    </font>
    <font>
      <b/>
      <sz val="9"/>
      <name val="Arial"/>
      <family val="2"/>
      <charset val="1"/>
    </font>
    <font>
      <b/>
      <sz val="9"/>
      <color rgb="FF1E6B34"/>
      <name val="Arial"/>
      <family val="2"/>
      <charset val="1"/>
    </font>
    <font>
      <i/>
      <sz val="9"/>
      <color rgb="FFC00000"/>
      <name val="Arial"/>
      <family val="2"/>
      <charset val="1"/>
    </font>
    <font>
      <b/>
      <sz val="11"/>
      <color theme="1"/>
      <name val="Calibri"/>
      <family val="2"/>
    </font>
    <font>
      <sz val="11"/>
      <color rgb="FF7030A0"/>
      <name val="Calibri"/>
      <family val="2"/>
      <charset val="1"/>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2F3"/>
        <bgColor rgb="FFF2F5FA"/>
      </patternFill>
    </fill>
    <fill>
      <patternFill patternType="solid">
        <fgColor rgb="FFF2F5FA"/>
        <bgColor rgb="FFFFFFFF"/>
      </patternFill>
    </fill>
  </fills>
  <borders count="5">
    <border>
      <left/>
      <right/>
      <top/>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double">
        <color rgb="FF1F3864"/>
      </top>
      <bottom style="double">
        <color rgb="FF1F3864"/>
      </bottom>
      <diagonal/>
    </border>
  </borders>
  <cellStyleXfs count="1">
    <xf numFmtId="0" fontId="0" fillId="0" borderId="0"/>
  </cellStyleXfs>
  <cellXfs count="58">
    <xf numFmtId="0" fontId="0" fillId="0" borderId="0" xfId="0"/>
    <xf numFmtId="0" fontId="10" fillId="0" borderId="0" xfId="0" applyFont="1"/>
    <xf numFmtId="0" fontId="15" fillId="2" borderId="2" xfId="0" applyFont="1" applyFill="1" applyBorder="1" applyAlignment="1">
      <alignment horizontal="center" vertical="center" wrapText="1"/>
    </xf>
    <xf numFmtId="0" fontId="4" fillId="0" borderId="0" xfId="0" applyFont="1" applyAlignment="1">
      <alignment vertical="center"/>
    </xf>
    <xf numFmtId="0" fontId="5" fillId="0" borderId="1" xfId="0" applyFont="1" applyBorder="1"/>
    <xf numFmtId="0" fontId="0" fillId="0" borderId="1" xfId="0" applyBorder="1"/>
    <xf numFmtId="0" fontId="6" fillId="0" borderId="0" xfId="0" applyFont="1"/>
    <xf numFmtId="3" fontId="7" fillId="3" borderId="2" xfId="0" applyNumberFormat="1" applyFont="1" applyFill="1" applyBorder="1"/>
    <xf numFmtId="0" fontId="7" fillId="3" borderId="2" xfId="0" applyFont="1" applyFill="1" applyBorder="1"/>
    <xf numFmtId="0" fontId="8" fillId="0" borderId="0" xfId="0" applyFont="1"/>
    <xf numFmtId="3" fontId="9" fillId="3" borderId="2" xfId="0" applyNumberFormat="1" applyFont="1" applyFill="1" applyBorder="1"/>
    <xf numFmtId="164" fontId="9" fillId="3" borderId="2" xfId="0" applyNumberFormat="1" applyFont="1" applyFill="1" applyBorder="1"/>
    <xf numFmtId="0" fontId="10" fillId="0" borderId="0" xfId="0" applyFont="1" applyAlignment="1">
      <alignment horizontal="center"/>
    </xf>
    <xf numFmtId="164" fontId="6" fillId="0" borderId="2" xfId="0" applyNumberFormat="1" applyFont="1" applyBorder="1"/>
    <xf numFmtId="0" fontId="11" fillId="0" borderId="0" xfId="0" applyFont="1"/>
    <xf numFmtId="164" fontId="11" fillId="4" borderId="2" xfId="0" applyNumberFormat="1" applyFont="1" applyFill="1" applyBorder="1"/>
    <xf numFmtId="164" fontId="10" fillId="0" borderId="2" xfId="0" applyNumberFormat="1" applyFont="1" applyBorder="1"/>
    <xf numFmtId="0" fontId="12" fillId="0" borderId="1" xfId="0" applyFont="1" applyBorder="1"/>
    <xf numFmtId="0" fontId="8" fillId="0" borderId="1" xfId="0" applyFont="1" applyBorder="1"/>
    <xf numFmtId="3" fontId="8" fillId="0" borderId="3" xfId="0" applyNumberFormat="1" applyFont="1" applyBorder="1"/>
    <xf numFmtId="0" fontId="4" fillId="0" borderId="0" xfId="0" applyFont="1" applyAlignment="1">
      <alignment vertical="top" wrapText="1"/>
    </xf>
    <xf numFmtId="0" fontId="13" fillId="0" borderId="0" xfId="0" applyFont="1"/>
    <xf numFmtId="164" fontId="13" fillId="4" borderId="3" xfId="0" applyNumberFormat="1" applyFont="1" applyFill="1" applyBorder="1"/>
    <xf numFmtId="164" fontId="8" fillId="0" borderId="3" xfId="0" applyNumberFormat="1" applyFont="1" applyBorder="1"/>
    <xf numFmtId="165" fontId="9" fillId="3" borderId="2" xfId="0" applyNumberFormat="1" applyFont="1" applyFill="1" applyBorder="1"/>
    <xf numFmtId="0" fontId="4" fillId="0" borderId="0" xfId="0" applyFont="1"/>
    <xf numFmtId="0" fontId="4" fillId="0" borderId="0" xfId="0" applyFont="1" applyAlignment="1">
      <alignment horizontal="center"/>
    </xf>
    <xf numFmtId="0" fontId="14" fillId="2" borderId="4" xfId="0" applyFont="1" applyFill="1" applyBorder="1"/>
    <xf numFmtId="164" fontId="14" fillId="2" borderId="4" xfId="0" applyNumberFormat="1" applyFont="1" applyFill="1" applyBorder="1"/>
    <xf numFmtId="0" fontId="16" fillId="4" borderId="2" xfId="0" applyFont="1" applyFill="1" applyBorder="1" applyAlignment="1">
      <alignment horizontal="center" vertical="center" wrapText="1"/>
    </xf>
    <xf numFmtId="3" fontId="6" fillId="0" borderId="2" xfId="0" applyNumberFormat="1" applyFont="1" applyBorder="1"/>
    <xf numFmtId="164" fontId="17" fillId="0" borderId="2" xfId="0" applyNumberFormat="1" applyFont="1" applyBorder="1"/>
    <xf numFmtId="164" fontId="18" fillId="5" borderId="2" xfId="0" applyNumberFormat="1" applyFont="1" applyFill="1" applyBorder="1"/>
    <xf numFmtId="3" fontId="6" fillId="5" borderId="2" xfId="0" applyNumberFormat="1" applyFont="1" applyFill="1" applyBorder="1"/>
    <xf numFmtId="164" fontId="6" fillId="5" borderId="2" xfId="0" applyNumberFormat="1" applyFont="1" applyFill="1" applyBorder="1"/>
    <xf numFmtId="164" fontId="11" fillId="5" borderId="2" xfId="0" applyNumberFormat="1" applyFont="1" applyFill="1" applyBorder="1"/>
    <xf numFmtId="49" fontId="17" fillId="0" borderId="2" xfId="0" applyNumberFormat="1" applyFont="1" applyBorder="1"/>
    <xf numFmtId="3" fontId="17" fillId="0" borderId="2" xfId="0" applyNumberFormat="1" applyFont="1" applyBorder="1"/>
    <xf numFmtId="166" fontId="17" fillId="0" borderId="2" xfId="0" applyNumberFormat="1" applyFont="1" applyBorder="1"/>
    <xf numFmtId="49" fontId="17" fillId="0" borderId="2" xfId="0" applyNumberFormat="1" applyFont="1" applyBorder="1" applyAlignment="1">
      <alignment vertical="top" wrapText="1"/>
    </xf>
    <xf numFmtId="49" fontId="17" fillId="0" borderId="2" xfId="0" applyNumberFormat="1" applyFont="1" applyBorder="1" applyAlignment="1">
      <alignment horizontal="center"/>
    </xf>
    <xf numFmtId="164" fontId="18" fillId="4" borderId="2" xfId="0" applyNumberFormat="1" applyFont="1" applyFill="1" applyBorder="1"/>
    <xf numFmtId="49" fontId="17" fillId="5" borderId="2" xfId="0" applyNumberFormat="1" applyFont="1" applyFill="1" applyBorder="1"/>
    <xf numFmtId="164" fontId="17" fillId="5" borderId="2" xfId="0" applyNumberFormat="1" applyFont="1" applyFill="1" applyBorder="1"/>
    <xf numFmtId="3" fontId="17" fillId="5" borderId="2" xfId="0" applyNumberFormat="1" applyFont="1" applyFill="1" applyBorder="1"/>
    <xf numFmtId="166" fontId="17" fillId="5" borderId="2" xfId="0" applyNumberFormat="1" applyFont="1" applyFill="1" applyBorder="1"/>
    <xf numFmtId="49" fontId="17" fillId="5" borderId="2" xfId="0" applyNumberFormat="1" applyFont="1" applyFill="1" applyBorder="1" applyAlignment="1">
      <alignment vertical="top" wrapText="1"/>
    </xf>
    <xf numFmtId="49" fontId="17" fillId="5" borderId="2" xfId="0" applyNumberFormat="1" applyFont="1" applyFill="1" applyBorder="1" applyAlignment="1">
      <alignment horizontal="center"/>
    </xf>
    <xf numFmtId="3" fontId="19" fillId="5" borderId="2" xfId="0" applyNumberFormat="1" applyFont="1" applyFill="1" applyBorder="1"/>
    <xf numFmtId="0" fontId="2" fillId="2" borderId="0" xfId="0" applyFont="1" applyFill="1" applyAlignment="1">
      <alignment horizontal="left" vertical="center"/>
    </xf>
    <xf numFmtId="0" fontId="3" fillId="2" borderId="0" xfId="0" applyFont="1" applyFill="1" applyAlignment="1">
      <alignment horizontal="left" vertical="center"/>
    </xf>
    <xf numFmtId="0" fontId="10" fillId="0" borderId="0" xfId="0" applyFont="1" applyAlignment="1">
      <alignment vertical="top" wrapText="1"/>
    </xf>
    <xf numFmtId="0" fontId="10" fillId="0" borderId="0" xfId="0" applyFont="1"/>
    <xf numFmtId="0" fontId="15" fillId="2" borderId="2" xfId="0" applyFont="1" applyFill="1" applyBorder="1" applyAlignment="1">
      <alignment horizontal="center" vertical="center" wrapText="1"/>
    </xf>
    <xf numFmtId="0" fontId="15" fillId="2" borderId="2" xfId="0" applyFont="1" applyFill="1" applyBorder="1" applyAlignment="1">
      <alignment horizontal="center" vertical="center"/>
    </xf>
    <xf numFmtId="0" fontId="20" fillId="0" borderId="0" xfId="0" applyFont="1"/>
    <xf numFmtId="0" fontId="21" fillId="0" borderId="1" xfId="0" applyFont="1" applyBorder="1"/>
    <xf numFmtId="0" fontId="22" fillId="0" borderId="0" xfId="0" applyFont="1"/>
  </cellXfs>
  <cellStyles count="1">
    <cellStyle name="Normal" xfId="0" builtinId="0"/>
  </cellStyles>
  <dxfs count="3">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1E6B34"/>
      <rgbColor rgb="FF000080"/>
      <rgbColor rgb="FF808000"/>
      <rgbColor rgb="FF800080"/>
      <rgbColor rgb="FF008080"/>
      <rgbColor rgb="FFBFBFBF"/>
      <rgbColor rgb="FF808080"/>
      <rgbColor rgb="FF9999FF"/>
      <rgbColor rgb="FF993366"/>
      <rgbColor rgb="FFF2F5FA"/>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B2:G55"/>
  <sheetViews>
    <sheetView showGridLines="0" tabSelected="1" zoomScaleNormal="100" workbookViewId="0">
      <pane ySplit="15" topLeftCell="A49" activePane="bottomLeft" state="frozen"/>
      <selection pane="bottomLeft" activeCell="D59" sqref="D59"/>
    </sheetView>
  </sheetViews>
  <sheetFormatPr defaultColWidth="8.6640625" defaultRowHeight="14.4" x14ac:dyDescent="0.3"/>
  <cols>
    <col min="1" max="1" width="3" customWidth="1"/>
    <col min="2" max="2" width="52" customWidth="1"/>
    <col min="3" max="4" width="18" customWidth="1"/>
    <col min="5" max="5" width="46" customWidth="1"/>
    <col min="6" max="6" width="4" customWidth="1"/>
  </cols>
  <sheetData>
    <row r="2" spans="2:6" ht="24" customHeight="1" x14ac:dyDescent="0.3">
      <c r="B2" s="49" t="s">
        <v>0</v>
      </c>
      <c r="C2" s="49"/>
      <c r="D2" s="49"/>
      <c r="E2" s="49"/>
      <c r="F2" s="49"/>
    </row>
    <row r="3" spans="2:6" ht="15.75" customHeight="1" x14ac:dyDescent="0.3">
      <c r="B3" s="50" t="s">
        <v>1</v>
      </c>
      <c r="C3" s="50"/>
      <c r="D3" s="50"/>
      <c r="E3" s="50"/>
      <c r="F3" s="50"/>
    </row>
    <row r="4" spans="2:6" ht="13.5" customHeight="1" x14ac:dyDescent="0.3">
      <c r="B4" s="3" t="s">
        <v>2</v>
      </c>
    </row>
    <row r="5" spans="2:6" x14ac:dyDescent="0.3">
      <c r="B5" s="4" t="s">
        <v>3</v>
      </c>
      <c r="C5" s="5"/>
      <c r="D5" s="5"/>
      <c r="E5" s="5"/>
      <c r="F5" s="5"/>
    </row>
    <row r="6" spans="2:6" x14ac:dyDescent="0.3">
      <c r="B6" s="6" t="s">
        <v>4</v>
      </c>
      <c r="C6" s="7">
        <v>1500000</v>
      </c>
    </row>
    <row r="7" spans="2:6" x14ac:dyDescent="0.3">
      <c r="B7" s="6" t="s">
        <v>5</v>
      </c>
      <c r="C7" s="8" t="s">
        <v>6</v>
      </c>
    </row>
    <row r="8" spans="2:6" x14ac:dyDescent="0.3">
      <c r="B8" s="6" t="s">
        <v>7</v>
      </c>
      <c r="C8" s="8" t="s">
        <v>8</v>
      </c>
    </row>
    <row r="9" spans="2:6" x14ac:dyDescent="0.3">
      <c r="B9" s="6" t="s">
        <v>9</v>
      </c>
      <c r="C9" s="8" t="s">
        <v>10</v>
      </c>
    </row>
    <row r="10" spans="2:6" x14ac:dyDescent="0.3">
      <c r="B10" s="6" t="s">
        <v>11</v>
      </c>
      <c r="C10" s="7">
        <v>1500000</v>
      </c>
    </row>
    <row r="11" spans="2:6" x14ac:dyDescent="0.3">
      <c r="B11" s="6" t="s">
        <v>12</v>
      </c>
      <c r="C11" s="8" t="s">
        <v>13</v>
      </c>
    </row>
    <row r="12" spans="2:6" x14ac:dyDescent="0.3">
      <c r="B12" s="9" t="s">
        <v>14</v>
      </c>
      <c r="C12" s="10">
        <v>2</v>
      </c>
    </row>
    <row r="13" spans="2:6" x14ac:dyDescent="0.3">
      <c r="B13" s="9" t="s">
        <v>15</v>
      </c>
      <c r="C13" s="11">
        <v>3499</v>
      </c>
    </row>
    <row r="14" spans="2:6" x14ac:dyDescent="0.3">
      <c r="B14" s="1" t="s">
        <v>16</v>
      </c>
      <c r="C14" s="12">
        <f>IF($C$7="OPC / Small Company",3,0)</f>
        <v>3</v>
      </c>
    </row>
    <row r="15" spans="2:6" x14ac:dyDescent="0.3">
      <c r="B15" s="1" t="s">
        <v>17</v>
      </c>
      <c r="C15" s="12">
        <f>MATCH($C$8,StateList,0)</f>
        <v>13</v>
      </c>
    </row>
    <row r="17" spans="2:6" x14ac:dyDescent="0.3">
      <c r="B17" s="4" t="s">
        <v>18</v>
      </c>
      <c r="C17" s="5"/>
      <c r="D17" s="56" t="s">
        <v>158</v>
      </c>
      <c r="E17" s="5"/>
      <c r="F17" s="5"/>
    </row>
    <row r="18" spans="2:6" x14ac:dyDescent="0.3">
      <c r="B18" s="6" t="s">
        <v>19</v>
      </c>
      <c r="C18" s="13">
        <f>IF($C$6&lt;=$C$10,0,IF(AND($C$7="OPC / Small Company",$C$6&lt;=5000000),2000+200*ROUNDUP(MAX(0,$C$6-1000000)/10000,0),36000+MIN(25000000,300*ROUNDUP(MAX(0,MIN($C$6,5000000)-1000000)/10000,0)+100*ROUNDUP(MAX(0,MIN($C$6,10000000)-5000000)/10000,0)+75*ROUNDUP(MAX(0,$C$6-10000000)/10000,0))))</f>
        <v>0</v>
      </c>
      <c r="D18" s="57" t="s">
        <v>159</v>
      </c>
      <c r="E18" s="1" t="s">
        <v>20</v>
      </c>
    </row>
    <row r="19" spans="2:6" x14ac:dyDescent="0.3">
      <c r="B19" s="6" t="s">
        <v>21</v>
      </c>
      <c r="C19" s="13">
        <f>IF($C$6&lt;=$C$10,0,IF($C$6&lt;=100000,200,IF($C$6&lt;500000,300,IF($C$6&lt;2500000,400,IF($C$6&lt;10000000,500,600)))))</f>
        <v>0</v>
      </c>
      <c r="D19" s="57" t="s">
        <v>159</v>
      </c>
      <c r="E19" s="1" t="s">
        <v>22</v>
      </c>
    </row>
    <row r="20" spans="2:6" x14ac:dyDescent="0.3">
      <c r="B20" s="14" t="s">
        <v>23</v>
      </c>
      <c r="C20" s="15">
        <f>C18+C19</f>
        <v>0</v>
      </c>
      <c r="D20" s="57" t="s">
        <v>159</v>
      </c>
    </row>
    <row r="21" spans="2:6" x14ac:dyDescent="0.3">
      <c r="B21" s="1" t="s">
        <v>24</v>
      </c>
      <c r="C21" s="16">
        <f>IF(ISNUMBER(MATCH($C$6,'MCA Fees'!$B$8:$B$32,0)),INDEX('MCA Fees'!$C$8:$H$32,MATCH($C$6,'MCA Fees'!$B$8:$B$32,0),1+$C$14)+INDEX('MCA Fees'!$C$8:$H$32,MATCH($C$6,'MCA Fees'!$B$8:$B$32,0),2+$C$14)-$C$20,"capital is not a listed slab — no control available")</f>
        <v>0</v>
      </c>
      <c r="E21" s="1" t="s">
        <v>25</v>
      </c>
    </row>
    <row r="23" spans="2:6" x14ac:dyDescent="0.3">
      <c r="B23" s="4" t="s">
        <v>26</v>
      </c>
      <c r="C23" s="5"/>
      <c r="D23" s="5"/>
      <c r="E23" s="5"/>
      <c r="F23" s="5"/>
    </row>
    <row r="24" spans="2:6" x14ac:dyDescent="0.3">
      <c r="B24" s="6" t="s">
        <v>27</v>
      </c>
      <c r="C24" s="13">
        <f>IF(INDEX('Stamp Duty'!$N$8:$N$42,$C$15)="VERIFY","verify",INDEX('Stamp Duty'!$C$8:$C$42,$C$15))</f>
        <v>15</v>
      </c>
      <c r="D24" s="57" t="s">
        <v>160</v>
      </c>
      <c r="E24" s="51" t="str">
        <f>"AOA rule: "&amp;INDEX('Stamp Duty'!$M$8:$M$42,$C$15)</f>
        <v>AOA rule: Rs. 60 if authorised capital up to Rs. 1,00,000; Rs. 120 if above</v>
      </c>
      <c r="F24" s="51"/>
    </row>
    <row r="25" spans="2:6" x14ac:dyDescent="0.3">
      <c r="B25" s="6" t="s">
        <v>28</v>
      </c>
      <c r="C25" s="13">
        <f>IF(INDEX('Stamp Duty'!$E$8:$E$42,$C$15)="NA","verify",IF(AND($C$9="Yes",INDEX('Stamp Duty'!$N$8:$N$42,$C$15)="NIL"),0,IF(AND($C$9="Yes",INDEX('Stamp Duty'!$N$8:$N$42,$C$15)="VERIFY"),"verify",INDEX('Stamp Duty'!$D$8:$D$42,$C$15))))</f>
        <v>60</v>
      </c>
      <c r="D25" s="57" t="s">
        <v>160</v>
      </c>
      <c r="E25" s="51"/>
      <c r="F25" s="51"/>
    </row>
    <row r="26" spans="2:6" x14ac:dyDescent="0.3">
      <c r="B26" s="6" t="s">
        <v>29</v>
      </c>
      <c r="C26" s="13">
        <f>IF(AND($C$9="Yes",INDEX('Stamp Duty'!$N$8:$N$42,$C$15)="NIL"),0,IF(AND($C$9="Yes",INDEX('Stamp Duty'!$N$8:$N$42,$C$15)="VERIFY"),"verify",INDEX('Stamp Duty'!$O$8:$O$42,$C$15)))</f>
        <v>120</v>
      </c>
      <c r="D26" s="57" t="s">
        <v>160</v>
      </c>
      <c r="E26" s="51"/>
      <c r="F26" s="51"/>
    </row>
    <row r="27" spans="2:6" x14ac:dyDescent="0.3">
      <c r="B27" s="14" t="s">
        <v>30</v>
      </c>
      <c r="C27" s="15">
        <f>IF(AND(ISNUMBER(C24),ISNUMBER(C25),ISNUMBER(C26)),C24+C25+C26,"verify")</f>
        <v>195</v>
      </c>
      <c r="D27" s="57" t="s">
        <v>160</v>
      </c>
      <c r="E27" s="51"/>
      <c r="F27" s="51"/>
    </row>
    <row r="29" spans="2:6" ht="15" customHeight="1" x14ac:dyDescent="0.3">
      <c r="B29" s="4" t="s">
        <v>31</v>
      </c>
      <c r="C29" s="5"/>
      <c r="D29" s="5"/>
      <c r="E29" s="5"/>
      <c r="F29" s="5"/>
    </row>
    <row r="30" spans="2:6" x14ac:dyDescent="0.3">
      <c r="B30" s="6" t="s">
        <v>32</v>
      </c>
      <c r="C30" s="13">
        <v>143</v>
      </c>
      <c r="D30" s="57" t="s">
        <v>159</v>
      </c>
      <c r="E30" s="1"/>
    </row>
    <row r="31" spans="2:6" x14ac:dyDescent="0.3">
      <c r="B31" s="6" t="s">
        <v>33</v>
      </c>
      <c r="C31" s="13">
        <f>IF($C$11="Yes",1000,0)</f>
        <v>1000</v>
      </c>
      <c r="D31" s="57" t="s">
        <v>159</v>
      </c>
      <c r="E31" s="1" t="s">
        <v>34</v>
      </c>
    </row>
    <row r="32" spans="2:6" x14ac:dyDescent="0.3">
      <c r="B32" s="14" t="s">
        <v>35</v>
      </c>
      <c r="C32" s="15">
        <f>+C31+C30</f>
        <v>1143</v>
      </c>
      <c r="D32" s="57" t="s">
        <v>159</v>
      </c>
      <c r="E32" s="1"/>
    </row>
    <row r="34" spans="2:7" ht="18" customHeight="1" x14ac:dyDescent="0.3">
      <c r="B34" s="17" t="s">
        <v>36</v>
      </c>
      <c r="C34" s="18"/>
      <c r="D34" s="18"/>
      <c r="E34" s="18"/>
      <c r="F34" s="18"/>
      <c r="G34" s="9"/>
    </row>
    <row r="35" spans="2:7" ht="15" customHeight="1" x14ac:dyDescent="0.3">
      <c r="B35" s="9" t="s">
        <v>37</v>
      </c>
      <c r="C35" s="19">
        <f>$C$12</f>
        <v>2</v>
      </c>
      <c r="D35" s="9"/>
      <c r="E35" s="9"/>
      <c r="F35" s="9"/>
      <c r="G35" s="9"/>
    </row>
    <row r="36" spans="2:7" ht="22.8" x14ac:dyDescent="0.3">
      <c r="B36" s="9" t="s">
        <v>38</v>
      </c>
      <c r="C36" s="11">
        <v>2000</v>
      </c>
      <c r="D36" s="9"/>
      <c r="E36" s="20" t="s">
        <v>39</v>
      </c>
      <c r="F36" s="9"/>
      <c r="G36" s="9"/>
    </row>
    <row r="37" spans="2:7" x14ac:dyDescent="0.3">
      <c r="B37" s="21" t="s">
        <v>40</v>
      </c>
      <c r="C37" s="22">
        <f>$C$35*$C$36</f>
        <v>4000</v>
      </c>
      <c r="D37" s="9"/>
      <c r="E37" s="9"/>
      <c r="F37" s="9"/>
      <c r="G37" s="9"/>
    </row>
    <row r="38" spans="2:7" ht="15" customHeight="1" x14ac:dyDescent="0.3">
      <c r="B38" s="9"/>
      <c r="C38" s="9"/>
      <c r="D38" s="9"/>
      <c r="E38" s="9"/>
      <c r="F38" s="9"/>
      <c r="G38" s="9"/>
    </row>
    <row r="39" spans="2:7" ht="18" customHeight="1" x14ac:dyDescent="0.3">
      <c r="B39" s="17" t="s">
        <v>41</v>
      </c>
      <c r="C39" s="18"/>
      <c r="D39" s="18"/>
      <c r="E39" s="18"/>
      <c r="F39" s="18"/>
      <c r="G39" s="9"/>
    </row>
    <row r="40" spans="2:7" x14ac:dyDescent="0.3">
      <c r="B40" s="9" t="s">
        <v>42</v>
      </c>
      <c r="C40" s="23">
        <f>$C$13</f>
        <v>3499</v>
      </c>
      <c r="D40" s="9"/>
      <c r="E40" s="20" t="s">
        <v>43</v>
      </c>
      <c r="F40" s="9"/>
      <c r="G40" s="9"/>
    </row>
    <row r="41" spans="2:7" x14ac:dyDescent="0.3">
      <c r="B41" s="9"/>
      <c r="C41" s="11"/>
      <c r="D41" s="9"/>
      <c r="E41" s="9"/>
      <c r="F41" s="9"/>
      <c r="G41" s="9"/>
    </row>
    <row r="42" spans="2:7" x14ac:dyDescent="0.3">
      <c r="B42" s="21" t="s">
        <v>44</v>
      </c>
      <c r="C42" s="22">
        <f>$C$40+$C$41</f>
        <v>3499</v>
      </c>
      <c r="D42" s="9"/>
      <c r="E42" s="9"/>
      <c r="F42" s="9"/>
      <c r="G42" s="9"/>
    </row>
    <row r="43" spans="2:7" x14ac:dyDescent="0.3">
      <c r="B43" s="9"/>
      <c r="C43" s="9"/>
      <c r="D43" s="9"/>
      <c r="E43" s="9"/>
      <c r="F43" s="9"/>
      <c r="G43" s="9"/>
    </row>
    <row r="44" spans="2:7" ht="18" customHeight="1" x14ac:dyDescent="0.3">
      <c r="B44" s="17" t="s">
        <v>45</v>
      </c>
      <c r="C44" s="18"/>
      <c r="D44" s="18"/>
      <c r="E44" s="18"/>
      <c r="F44" s="18"/>
      <c r="G44" s="9"/>
    </row>
    <row r="45" spans="2:7" x14ac:dyDescent="0.3">
      <c r="B45" s="9" t="s">
        <v>46</v>
      </c>
      <c r="C45" s="23">
        <f>$C$37+$C$42</f>
        <v>7499</v>
      </c>
      <c r="D45" s="9"/>
      <c r="E45" s="9"/>
      <c r="F45" s="9"/>
      <c r="G45" s="9"/>
    </row>
    <row r="46" spans="2:7" ht="22.8" x14ac:dyDescent="0.3">
      <c r="B46" s="9" t="s">
        <v>47</v>
      </c>
      <c r="C46" s="24">
        <v>0.18</v>
      </c>
      <c r="D46" s="9"/>
      <c r="E46" s="20" t="s">
        <v>48</v>
      </c>
      <c r="F46" s="9"/>
      <c r="G46" s="9"/>
    </row>
    <row r="47" spans="2:7" x14ac:dyDescent="0.3">
      <c r="B47" s="21" t="s">
        <v>49</v>
      </c>
      <c r="C47" s="22">
        <f>ROUND($C$45*$C$46,0)</f>
        <v>1350</v>
      </c>
      <c r="D47" s="9"/>
      <c r="E47" s="9"/>
      <c r="F47" s="9"/>
      <c r="G47" s="9"/>
    </row>
    <row r="48" spans="2:7" ht="45.6" x14ac:dyDescent="0.3">
      <c r="B48" s="25" t="s">
        <v>50</v>
      </c>
      <c r="C48" s="26" t="s">
        <v>51</v>
      </c>
      <c r="D48" s="9"/>
      <c r="E48" s="20" t="s">
        <v>52</v>
      </c>
      <c r="F48" s="9"/>
      <c r="G48" s="9"/>
    </row>
    <row r="49" spans="2:7" x14ac:dyDescent="0.3">
      <c r="B49" s="9"/>
      <c r="C49" s="9"/>
      <c r="D49" s="9"/>
      <c r="E49" s="9"/>
      <c r="F49" s="9"/>
      <c r="G49" s="9"/>
    </row>
    <row r="50" spans="2:7" ht="18" customHeight="1" x14ac:dyDescent="0.3">
      <c r="B50" s="17" t="s">
        <v>53</v>
      </c>
      <c r="C50" s="18"/>
      <c r="D50" s="18"/>
      <c r="E50" s="18"/>
      <c r="F50" s="18"/>
      <c r="G50" s="9"/>
    </row>
    <row r="51" spans="2:7" x14ac:dyDescent="0.3">
      <c r="B51" s="9" t="s">
        <v>54</v>
      </c>
      <c r="C51" s="23">
        <f>IF(ISNUMBER($C$27),$C$20+$C$27+$C$32,"verify")</f>
        <v>1338</v>
      </c>
      <c r="D51" s="9"/>
      <c r="E51" s="20" t="s">
        <v>55</v>
      </c>
      <c r="F51" s="9"/>
      <c r="G51" s="9"/>
    </row>
    <row r="52" spans="2:7" x14ac:dyDescent="0.3">
      <c r="B52" s="9" t="s">
        <v>56</v>
      </c>
      <c r="C52" s="23">
        <f>$C$37+$C$42</f>
        <v>7499</v>
      </c>
      <c r="D52" s="9"/>
      <c r="E52" s="20" t="s">
        <v>57</v>
      </c>
      <c r="F52" s="9"/>
      <c r="G52" s="9"/>
    </row>
    <row r="53" spans="2:7" x14ac:dyDescent="0.3">
      <c r="B53" s="9" t="s">
        <v>58</v>
      </c>
      <c r="C53" s="23">
        <f>$C$47</f>
        <v>1350</v>
      </c>
      <c r="D53" s="9"/>
      <c r="E53" s="9"/>
      <c r="F53" s="9"/>
      <c r="G53" s="9"/>
    </row>
    <row r="54" spans="2:7" ht="21.75" customHeight="1" x14ac:dyDescent="0.3">
      <c r="B54" s="27" t="s">
        <v>59</v>
      </c>
      <c r="C54" s="28">
        <f>IF(ISNUMBER($C$51),$C$51+$C$52+$C$53,"verify")</f>
        <v>10187</v>
      </c>
      <c r="D54" s="9"/>
      <c r="E54" s="9"/>
      <c r="F54" s="9"/>
      <c r="G54" s="9"/>
    </row>
    <row r="55" spans="2:7" x14ac:dyDescent="0.3">
      <c r="B55" s="9"/>
      <c r="C55" s="9"/>
      <c r="D55" s="9"/>
      <c r="E55" s="9"/>
      <c r="F55" s="9"/>
      <c r="G55" s="9"/>
    </row>
  </sheetData>
  <mergeCells count="3">
    <mergeCell ref="B2:F2"/>
    <mergeCell ref="B3:F3"/>
    <mergeCell ref="E24:F27"/>
  </mergeCells>
  <conditionalFormatting sqref="C24:C27">
    <cfRule type="expression" dxfId="2" priority="2">
      <formula>ISTEXT(C24)</formula>
    </cfRule>
  </conditionalFormatting>
  <conditionalFormatting sqref="C51">
    <cfRule type="expression" dxfId="1" priority="3">
      <formula>ISTEXT(C51)</formula>
    </cfRule>
  </conditionalFormatting>
  <conditionalFormatting sqref="C54">
    <cfRule type="expression" dxfId="0" priority="4">
      <formula>ISTEXT(C54)</formula>
    </cfRule>
  </conditionalFormatting>
  <dataValidations count="3">
    <dataValidation type="list" sqref="C7" xr:uid="{00000000-0002-0000-0000-000000000000}">
      <formula1>"Other than OPC / Small Company,OPC / Small Company"</formula1>
      <formula2>0</formula2>
    </dataValidation>
    <dataValidation type="list" sqref="C8" xr:uid="{00000000-0002-0000-0000-000001000000}">
      <formula1>StateList</formula1>
      <formula2>0</formula2>
    </dataValidation>
    <dataValidation type="list" sqref="C9 C11" xr:uid="{00000000-0002-0000-0000-000002000000}">
      <formula1>"No,Yes"</formula1>
      <formula2>0</formula2>
    </dataValidation>
  </dataValidations>
  <printOptions horizontalCentered="1"/>
  <pageMargins left="0.75" right="0.75" top="1" bottom="1" header="0.511811023622047" footer="0.51180555555555596"/>
  <pageSetup paperSize="9" fitToHeight="0" orientation="portrait" horizontalDpi="300" verticalDpi="300"/>
  <headerFooter>
    <oddFooter>&amp;LCAA — Incorporation Cost Calculator&amp;RPage &amp;P of &amp;N</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B2:N37"/>
  <sheetViews>
    <sheetView showGridLines="0" zoomScaleNormal="100" workbookViewId="0">
      <pane xSplit="2" ySplit="7" topLeftCell="C8" activePane="bottomRight" state="frozen"/>
      <selection pane="topRight" activeCell="C1" sqref="C1"/>
      <selection pane="bottomLeft" activeCell="A8" sqref="A8"/>
      <selection pane="bottomRight" activeCell="C21" sqref="C21"/>
    </sheetView>
  </sheetViews>
  <sheetFormatPr defaultColWidth="8.6640625" defaultRowHeight="14.4" x14ac:dyDescent="0.3"/>
  <cols>
    <col min="1" max="1" width="3" customWidth="1"/>
    <col min="2" max="2" width="24" customWidth="1"/>
    <col min="3" max="8" width="19" customWidth="1"/>
    <col min="10" max="14" width="17" customWidth="1"/>
  </cols>
  <sheetData>
    <row r="2" spans="2:14" ht="24" customHeight="1" x14ac:dyDescent="0.3">
      <c r="B2" s="49" t="s">
        <v>60</v>
      </c>
      <c r="C2" s="49"/>
      <c r="D2" s="49"/>
      <c r="E2" s="49"/>
      <c r="F2" s="49"/>
      <c r="G2" s="49"/>
      <c r="H2" s="49"/>
      <c r="I2" s="49"/>
      <c r="J2" s="49"/>
      <c r="K2" s="49"/>
      <c r="L2" s="49"/>
      <c r="M2" s="49"/>
      <c r="N2" s="49"/>
    </row>
    <row r="3" spans="2:14" ht="15.75" customHeight="1" x14ac:dyDescent="0.3">
      <c r="B3" s="50" t="s">
        <v>61</v>
      </c>
      <c r="C3" s="50"/>
      <c r="D3" s="50"/>
      <c r="E3" s="50"/>
      <c r="F3" s="50"/>
      <c r="G3" s="50"/>
      <c r="H3" s="50"/>
      <c r="I3" s="50"/>
      <c r="J3" s="50"/>
      <c r="K3" s="50"/>
      <c r="L3" s="50"/>
      <c r="M3" s="50"/>
      <c r="N3" s="50"/>
    </row>
    <row r="6" spans="2:14" ht="15" customHeight="1" x14ac:dyDescent="0.3">
      <c r="B6" s="53" t="s">
        <v>62</v>
      </c>
      <c r="C6" s="54" t="s">
        <v>63</v>
      </c>
      <c r="D6" s="54"/>
      <c r="E6" s="54"/>
      <c r="F6" s="54" t="s">
        <v>6</v>
      </c>
      <c r="G6" s="54"/>
      <c r="H6" s="54"/>
      <c r="J6" s="54" t="s">
        <v>64</v>
      </c>
      <c r="K6" s="54"/>
      <c r="L6" s="54"/>
      <c r="M6" s="54"/>
      <c r="N6" s="54"/>
    </row>
    <row r="7" spans="2:14" ht="31.5" customHeight="1" x14ac:dyDescent="0.3">
      <c r="B7" s="53"/>
      <c r="C7" s="29" t="s">
        <v>65</v>
      </c>
      <c r="D7" s="29" t="s">
        <v>66</v>
      </c>
      <c r="E7" s="29" t="s">
        <v>67</v>
      </c>
      <c r="F7" s="29" t="s">
        <v>65</v>
      </c>
      <c r="G7" s="29" t="s">
        <v>66</v>
      </c>
      <c r="H7" s="29" t="s">
        <v>67</v>
      </c>
      <c r="J7" s="29" t="s">
        <v>68</v>
      </c>
      <c r="K7" s="29" t="s">
        <v>69</v>
      </c>
      <c r="L7" s="29" t="s">
        <v>70</v>
      </c>
      <c r="M7" s="29" t="s">
        <v>71</v>
      </c>
      <c r="N7" s="29" t="s">
        <v>72</v>
      </c>
    </row>
    <row r="8" spans="2:14" x14ac:dyDescent="0.3">
      <c r="B8" s="30">
        <v>100000</v>
      </c>
      <c r="C8" s="13">
        <v>0</v>
      </c>
      <c r="D8" s="13">
        <v>0</v>
      </c>
      <c r="E8" s="15">
        <f t="shared" ref="E8:E32" si="0">C8+D8</f>
        <v>0</v>
      </c>
      <c r="F8" s="13">
        <v>0</v>
      </c>
      <c r="G8" s="13">
        <v>0</v>
      </c>
      <c r="H8" s="15">
        <f t="shared" ref="H8:H32" si="1">F8+G8</f>
        <v>0</v>
      </c>
      <c r="J8" s="31">
        <f>IF($B8&lt;=Calculator!$C$10,0,36000+MIN(25000000,300*ROUNDUP(MAX(0,MIN($B8,5000000)-1000000)/10000,0)+100*ROUNDUP(MAX(0,MIN($B8,10000000)-5000000)/10000,0)+75*ROUNDUP(MAX(0,$B8-10000000)/10000,0)))</f>
        <v>0</v>
      </c>
      <c r="K8" s="31">
        <f>IF($B8&lt;=Calculator!$C$10,0,IF($B8&lt;=5000000,2000+200*ROUNDUP(MAX(0,$B8-1000000)/10000,0),J8))</f>
        <v>0</v>
      </c>
      <c r="L8" s="31">
        <f>IF($B8&lt;=Calculator!$C$10,0,IF($B8&lt;=100000,200,IF($B8&lt;500000,300,IF($B8&lt;2500000,400,IF($B8&lt;10000000,500,600)))))</f>
        <v>0</v>
      </c>
      <c r="M8" s="32">
        <f t="shared" ref="M8:M32" si="2">E8-J8-L8</f>
        <v>0</v>
      </c>
      <c r="N8" s="32">
        <f t="shared" ref="N8:N32" si="3">H8-K8-L8</f>
        <v>0</v>
      </c>
    </row>
    <row r="9" spans="2:14" x14ac:dyDescent="0.3">
      <c r="B9" s="33">
        <v>200000</v>
      </c>
      <c r="C9" s="34">
        <v>0</v>
      </c>
      <c r="D9" s="34">
        <v>0</v>
      </c>
      <c r="E9" s="35">
        <f t="shared" si="0"/>
        <v>0</v>
      </c>
      <c r="F9" s="34">
        <v>0</v>
      </c>
      <c r="G9" s="34">
        <v>0</v>
      </c>
      <c r="H9" s="35">
        <f t="shared" si="1"/>
        <v>0</v>
      </c>
      <c r="J9" s="31">
        <f>IF($B9&lt;=Calculator!$C$10,0,36000+MIN(25000000,300*ROUNDUP(MAX(0,MIN($B9,5000000)-1000000)/10000,0)+100*ROUNDUP(MAX(0,MIN($B9,10000000)-5000000)/10000,0)+75*ROUNDUP(MAX(0,$B9-10000000)/10000,0)))</f>
        <v>0</v>
      </c>
      <c r="K9" s="31">
        <f>IF($B9&lt;=Calculator!$C$10,0,IF($B9&lt;=5000000,2000+200*ROUNDUP(MAX(0,$B9-1000000)/10000,0),J9))</f>
        <v>0</v>
      </c>
      <c r="L9" s="31">
        <f>IF($B9&lt;=Calculator!$C$10,0,IF($B9&lt;=100000,200,IF($B9&lt;500000,300,IF($B9&lt;2500000,400,IF($B9&lt;10000000,500,600)))))</f>
        <v>0</v>
      </c>
      <c r="M9" s="32">
        <f t="shared" si="2"/>
        <v>0</v>
      </c>
      <c r="N9" s="32">
        <f t="shared" si="3"/>
        <v>0</v>
      </c>
    </row>
    <row r="10" spans="2:14" x14ac:dyDescent="0.3">
      <c r="B10" s="30">
        <v>300000</v>
      </c>
      <c r="C10" s="13">
        <v>0</v>
      </c>
      <c r="D10" s="13">
        <v>0</v>
      </c>
      <c r="E10" s="15">
        <f t="shared" si="0"/>
        <v>0</v>
      </c>
      <c r="F10" s="13">
        <v>0</v>
      </c>
      <c r="G10" s="13">
        <v>0</v>
      </c>
      <c r="H10" s="15">
        <f t="shared" si="1"/>
        <v>0</v>
      </c>
      <c r="J10" s="31">
        <f>IF($B10&lt;=Calculator!$C$10,0,36000+MIN(25000000,300*ROUNDUP(MAX(0,MIN($B10,5000000)-1000000)/10000,0)+100*ROUNDUP(MAX(0,MIN($B10,10000000)-5000000)/10000,0)+75*ROUNDUP(MAX(0,$B10-10000000)/10000,0)))</f>
        <v>0</v>
      </c>
      <c r="K10" s="31">
        <f>IF($B10&lt;=Calculator!$C$10,0,IF($B10&lt;=5000000,2000+200*ROUNDUP(MAX(0,$B10-1000000)/10000,0),J10))</f>
        <v>0</v>
      </c>
      <c r="L10" s="31">
        <f>IF($B10&lt;=Calculator!$C$10,0,IF($B10&lt;=100000,200,IF($B10&lt;500000,300,IF($B10&lt;2500000,400,IF($B10&lt;10000000,500,600)))))</f>
        <v>0</v>
      </c>
      <c r="M10" s="32">
        <f t="shared" si="2"/>
        <v>0</v>
      </c>
      <c r="N10" s="32">
        <f t="shared" si="3"/>
        <v>0</v>
      </c>
    </row>
    <row r="11" spans="2:14" x14ac:dyDescent="0.3">
      <c r="B11" s="33">
        <v>400000</v>
      </c>
      <c r="C11" s="34">
        <v>0</v>
      </c>
      <c r="D11" s="34">
        <v>0</v>
      </c>
      <c r="E11" s="35">
        <f t="shared" si="0"/>
        <v>0</v>
      </c>
      <c r="F11" s="34">
        <v>0</v>
      </c>
      <c r="G11" s="34">
        <v>0</v>
      </c>
      <c r="H11" s="35">
        <f t="shared" si="1"/>
        <v>0</v>
      </c>
      <c r="J11" s="31">
        <f>IF($B11&lt;=Calculator!$C$10,0,36000+MIN(25000000,300*ROUNDUP(MAX(0,MIN($B11,5000000)-1000000)/10000,0)+100*ROUNDUP(MAX(0,MIN($B11,10000000)-5000000)/10000,0)+75*ROUNDUP(MAX(0,$B11-10000000)/10000,0)))</f>
        <v>0</v>
      </c>
      <c r="K11" s="31">
        <f>IF($B11&lt;=Calculator!$C$10,0,IF($B11&lt;=5000000,2000+200*ROUNDUP(MAX(0,$B11-1000000)/10000,0),J11))</f>
        <v>0</v>
      </c>
      <c r="L11" s="31">
        <f>IF($B11&lt;=Calculator!$C$10,0,IF($B11&lt;=100000,200,IF($B11&lt;500000,300,IF($B11&lt;2500000,400,IF($B11&lt;10000000,500,600)))))</f>
        <v>0</v>
      </c>
      <c r="M11" s="32">
        <f t="shared" si="2"/>
        <v>0</v>
      </c>
      <c r="N11" s="32">
        <f t="shared" si="3"/>
        <v>0</v>
      </c>
    </row>
    <row r="12" spans="2:14" x14ac:dyDescent="0.3">
      <c r="B12" s="30">
        <v>500000</v>
      </c>
      <c r="C12" s="13">
        <v>0</v>
      </c>
      <c r="D12" s="13">
        <v>0</v>
      </c>
      <c r="E12" s="15">
        <f t="shared" si="0"/>
        <v>0</v>
      </c>
      <c r="F12" s="13">
        <v>0</v>
      </c>
      <c r="G12" s="13">
        <v>0</v>
      </c>
      <c r="H12" s="15">
        <f t="shared" si="1"/>
        <v>0</v>
      </c>
      <c r="J12" s="31">
        <f>IF($B12&lt;=Calculator!$C$10,0,36000+MIN(25000000,300*ROUNDUP(MAX(0,MIN($B12,5000000)-1000000)/10000,0)+100*ROUNDUP(MAX(0,MIN($B12,10000000)-5000000)/10000,0)+75*ROUNDUP(MAX(0,$B12-10000000)/10000,0)))</f>
        <v>0</v>
      </c>
      <c r="K12" s="31">
        <f>IF($B12&lt;=Calculator!$C$10,0,IF($B12&lt;=5000000,2000+200*ROUNDUP(MAX(0,$B12-1000000)/10000,0),J12))</f>
        <v>0</v>
      </c>
      <c r="L12" s="31">
        <f>IF($B12&lt;=Calculator!$C$10,0,IF($B12&lt;=100000,200,IF($B12&lt;500000,300,IF($B12&lt;2500000,400,IF($B12&lt;10000000,500,600)))))</f>
        <v>0</v>
      </c>
      <c r="M12" s="32">
        <f t="shared" si="2"/>
        <v>0</v>
      </c>
      <c r="N12" s="32">
        <f t="shared" si="3"/>
        <v>0</v>
      </c>
    </row>
    <row r="13" spans="2:14" x14ac:dyDescent="0.3">
      <c r="B13" s="33">
        <v>600000</v>
      </c>
      <c r="C13" s="34">
        <v>0</v>
      </c>
      <c r="D13" s="34">
        <v>0</v>
      </c>
      <c r="E13" s="35">
        <f t="shared" si="0"/>
        <v>0</v>
      </c>
      <c r="F13" s="34">
        <v>0</v>
      </c>
      <c r="G13" s="34">
        <v>0</v>
      </c>
      <c r="H13" s="35">
        <f t="shared" si="1"/>
        <v>0</v>
      </c>
      <c r="J13" s="31">
        <f>IF($B13&lt;=Calculator!$C$10,0,36000+MIN(25000000,300*ROUNDUP(MAX(0,MIN($B13,5000000)-1000000)/10000,0)+100*ROUNDUP(MAX(0,MIN($B13,10000000)-5000000)/10000,0)+75*ROUNDUP(MAX(0,$B13-10000000)/10000,0)))</f>
        <v>0</v>
      </c>
      <c r="K13" s="31">
        <f>IF($B13&lt;=Calculator!$C$10,0,IF($B13&lt;=5000000,2000+200*ROUNDUP(MAX(0,$B13-1000000)/10000,0),J13))</f>
        <v>0</v>
      </c>
      <c r="L13" s="31">
        <f>IF($B13&lt;=Calculator!$C$10,0,IF($B13&lt;=100000,200,IF($B13&lt;500000,300,IF($B13&lt;2500000,400,IF($B13&lt;10000000,500,600)))))</f>
        <v>0</v>
      </c>
      <c r="M13" s="32">
        <f t="shared" si="2"/>
        <v>0</v>
      </c>
      <c r="N13" s="32">
        <f t="shared" si="3"/>
        <v>0</v>
      </c>
    </row>
    <row r="14" spans="2:14" x14ac:dyDescent="0.3">
      <c r="B14" s="30">
        <v>700000</v>
      </c>
      <c r="C14" s="13">
        <v>0</v>
      </c>
      <c r="D14" s="13">
        <v>0</v>
      </c>
      <c r="E14" s="15">
        <f t="shared" si="0"/>
        <v>0</v>
      </c>
      <c r="F14" s="13">
        <v>0</v>
      </c>
      <c r="G14" s="13">
        <v>0</v>
      </c>
      <c r="H14" s="15">
        <f t="shared" si="1"/>
        <v>0</v>
      </c>
      <c r="J14" s="31">
        <f>IF($B14&lt;=Calculator!$C$10,0,36000+MIN(25000000,300*ROUNDUP(MAX(0,MIN($B14,5000000)-1000000)/10000,0)+100*ROUNDUP(MAX(0,MIN($B14,10000000)-5000000)/10000,0)+75*ROUNDUP(MAX(0,$B14-10000000)/10000,0)))</f>
        <v>0</v>
      </c>
      <c r="K14" s="31">
        <f>IF($B14&lt;=Calculator!$C$10,0,IF($B14&lt;=5000000,2000+200*ROUNDUP(MAX(0,$B14-1000000)/10000,0),J14))</f>
        <v>0</v>
      </c>
      <c r="L14" s="31">
        <f>IF($B14&lt;=Calculator!$C$10,0,IF($B14&lt;=100000,200,IF($B14&lt;500000,300,IF($B14&lt;2500000,400,IF($B14&lt;10000000,500,600)))))</f>
        <v>0</v>
      </c>
      <c r="M14" s="32">
        <f t="shared" si="2"/>
        <v>0</v>
      </c>
      <c r="N14" s="32">
        <f t="shared" si="3"/>
        <v>0</v>
      </c>
    </row>
    <row r="15" spans="2:14" x14ac:dyDescent="0.3">
      <c r="B15" s="33">
        <v>1000000</v>
      </c>
      <c r="C15" s="34">
        <v>0</v>
      </c>
      <c r="D15" s="34">
        <v>0</v>
      </c>
      <c r="E15" s="35">
        <f t="shared" si="0"/>
        <v>0</v>
      </c>
      <c r="F15" s="34">
        <v>0</v>
      </c>
      <c r="G15" s="34">
        <v>0</v>
      </c>
      <c r="H15" s="35">
        <f t="shared" si="1"/>
        <v>0</v>
      </c>
      <c r="J15" s="31">
        <f>IF($B15&lt;=Calculator!$C$10,0,36000+MIN(25000000,300*ROUNDUP(MAX(0,MIN($B15,5000000)-1000000)/10000,0)+100*ROUNDUP(MAX(0,MIN($B15,10000000)-5000000)/10000,0)+75*ROUNDUP(MAX(0,$B15-10000000)/10000,0)))</f>
        <v>0</v>
      </c>
      <c r="K15" s="31">
        <f>IF($B15&lt;=Calculator!$C$10,0,IF($B15&lt;=5000000,2000+200*ROUNDUP(MAX(0,$B15-1000000)/10000,0),J15))</f>
        <v>0</v>
      </c>
      <c r="L15" s="31">
        <f>IF($B15&lt;=Calculator!$C$10,0,IF($B15&lt;=100000,200,IF($B15&lt;500000,300,IF($B15&lt;2500000,400,IF($B15&lt;10000000,500,600)))))</f>
        <v>0</v>
      </c>
      <c r="M15" s="32">
        <f t="shared" si="2"/>
        <v>0</v>
      </c>
      <c r="N15" s="32">
        <f t="shared" si="3"/>
        <v>0</v>
      </c>
    </row>
    <row r="16" spans="2:14" x14ac:dyDescent="0.3">
      <c r="B16" s="30">
        <v>1500000</v>
      </c>
      <c r="C16" s="13">
        <v>0</v>
      </c>
      <c r="D16" s="13">
        <v>0</v>
      </c>
      <c r="E16" s="15">
        <f t="shared" si="0"/>
        <v>0</v>
      </c>
      <c r="F16" s="13">
        <v>0</v>
      </c>
      <c r="G16" s="13">
        <v>0</v>
      </c>
      <c r="H16" s="15">
        <f t="shared" si="1"/>
        <v>0</v>
      </c>
      <c r="J16" s="31">
        <f>IF($B16&lt;=Calculator!$C$10,0,36000+MIN(25000000,300*ROUNDUP(MAX(0,MIN($B16,5000000)-1000000)/10000,0)+100*ROUNDUP(MAX(0,MIN($B16,10000000)-5000000)/10000,0)+75*ROUNDUP(MAX(0,$B16-10000000)/10000,0)))</f>
        <v>0</v>
      </c>
      <c r="K16" s="31">
        <f>IF($B16&lt;=Calculator!$C$10,0,IF($B16&lt;=5000000,2000+200*ROUNDUP(MAX(0,$B16-1000000)/10000,0),J16))</f>
        <v>0</v>
      </c>
      <c r="L16" s="31">
        <f>IF($B16&lt;=Calculator!$C$10,0,IF($B16&lt;=100000,200,IF($B16&lt;500000,300,IF($B16&lt;2500000,400,IF($B16&lt;10000000,500,600)))))</f>
        <v>0</v>
      </c>
      <c r="M16" s="32">
        <f t="shared" si="2"/>
        <v>0</v>
      </c>
      <c r="N16" s="32">
        <f t="shared" si="3"/>
        <v>0</v>
      </c>
    </row>
    <row r="17" spans="2:14" x14ac:dyDescent="0.3">
      <c r="B17" s="33">
        <v>2000000</v>
      </c>
      <c r="C17" s="34">
        <v>66000</v>
      </c>
      <c r="D17" s="34">
        <v>400</v>
      </c>
      <c r="E17" s="35">
        <f t="shared" si="0"/>
        <v>66400</v>
      </c>
      <c r="F17" s="34">
        <v>22000</v>
      </c>
      <c r="G17" s="34">
        <v>400</v>
      </c>
      <c r="H17" s="35">
        <f t="shared" si="1"/>
        <v>22400</v>
      </c>
      <c r="J17" s="31">
        <f>IF($B17&lt;=Calculator!$C$10,0,36000+MIN(25000000,300*ROUNDUP(MAX(0,MIN($B17,5000000)-1000000)/10000,0)+100*ROUNDUP(MAX(0,MIN($B17,10000000)-5000000)/10000,0)+75*ROUNDUP(MAX(0,$B17-10000000)/10000,0)))</f>
        <v>66000</v>
      </c>
      <c r="K17" s="31">
        <f>IF($B17&lt;=Calculator!$C$10,0,IF($B17&lt;=5000000,2000+200*ROUNDUP(MAX(0,$B17-1000000)/10000,0),J17))</f>
        <v>22000</v>
      </c>
      <c r="L17" s="31">
        <f>IF($B17&lt;=Calculator!$C$10,0,IF($B17&lt;=100000,200,IF($B17&lt;500000,300,IF($B17&lt;2500000,400,IF($B17&lt;10000000,500,600)))))</f>
        <v>400</v>
      </c>
      <c r="M17" s="32">
        <f t="shared" si="2"/>
        <v>0</v>
      </c>
      <c r="N17" s="32">
        <f t="shared" si="3"/>
        <v>0</v>
      </c>
    </row>
    <row r="18" spans="2:14" x14ac:dyDescent="0.3">
      <c r="B18" s="30">
        <v>2500000</v>
      </c>
      <c r="C18" s="13">
        <v>81000</v>
      </c>
      <c r="D18" s="13">
        <v>500</v>
      </c>
      <c r="E18" s="15">
        <f t="shared" si="0"/>
        <v>81500</v>
      </c>
      <c r="F18" s="13">
        <v>32000</v>
      </c>
      <c r="G18" s="13">
        <v>500</v>
      </c>
      <c r="H18" s="15">
        <f t="shared" si="1"/>
        <v>32500</v>
      </c>
      <c r="J18" s="31">
        <f>IF($B18&lt;=Calculator!$C$10,0,36000+MIN(25000000,300*ROUNDUP(MAX(0,MIN($B18,5000000)-1000000)/10000,0)+100*ROUNDUP(MAX(0,MIN($B18,10000000)-5000000)/10000,0)+75*ROUNDUP(MAX(0,$B18-10000000)/10000,0)))</f>
        <v>81000</v>
      </c>
      <c r="K18" s="31">
        <f>IF($B18&lt;=Calculator!$C$10,0,IF($B18&lt;=5000000,2000+200*ROUNDUP(MAX(0,$B18-1000000)/10000,0),J18))</f>
        <v>32000</v>
      </c>
      <c r="L18" s="31">
        <f>IF($B18&lt;=Calculator!$C$10,0,IF($B18&lt;=100000,200,IF($B18&lt;500000,300,IF($B18&lt;2500000,400,IF($B18&lt;10000000,500,600)))))</f>
        <v>500</v>
      </c>
      <c r="M18" s="32">
        <f t="shared" si="2"/>
        <v>0</v>
      </c>
      <c r="N18" s="32">
        <f t="shared" si="3"/>
        <v>0</v>
      </c>
    </row>
    <row r="19" spans="2:14" x14ac:dyDescent="0.3">
      <c r="B19" s="33">
        <v>3000000</v>
      </c>
      <c r="C19" s="34">
        <v>96000</v>
      </c>
      <c r="D19" s="34">
        <v>500</v>
      </c>
      <c r="E19" s="35">
        <f t="shared" si="0"/>
        <v>96500</v>
      </c>
      <c r="F19" s="34">
        <v>42000</v>
      </c>
      <c r="G19" s="34">
        <v>500</v>
      </c>
      <c r="H19" s="35">
        <f t="shared" si="1"/>
        <v>42500</v>
      </c>
      <c r="J19" s="31">
        <f>IF($B19&lt;=Calculator!$C$10,0,36000+MIN(25000000,300*ROUNDUP(MAX(0,MIN($B19,5000000)-1000000)/10000,0)+100*ROUNDUP(MAX(0,MIN($B19,10000000)-5000000)/10000,0)+75*ROUNDUP(MAX(0,$B19-10000000)/10000,0)))</f>
        <v>96000</v>
      </c>
      <c r="K19" s="31">
        <f>IF($B19&lt;=Calculator!$C$10,0,IF($B19&lt;=5000000,2000+200*ROUNDUP(MAX(0,$B19-1000000)/10000,0),J19))</f>
        <v>42000</v>
      </c>
      <c r="L19" s="31">
        <f>IF($B19&lt;=Calculator!$C$10,0,IF($B19&lt;=100000,200,IF($B19&lt;500000,300,IF($B19&lt;2500000,400,IF($B19&lt;10000000,500,600)))))</f>
        <v>500</v>
      </c>
      <c r="M19" s="32">
        <f t="shared" si="2"/>
        <v>0</v>
      </c>
      <c r="N19" s="32">
        <f t="shared" si="3"/>
        <v>0</v>
      </c>
    </row>
    <row r="20" spans="2:14" x14ac:dyDescent="0.3">
      <c r="B20" s="30">
        <v>3500000</v>
      </c>
      <c r="C20" s="13">
        <v>111000</v>
      </c>
      <c r="D20" s="13">
        <v>500</v>
      </c>
      <c r="E20" s="15">
        <f t="shared" si="0"/>
        <v>111500</v>
      </c>
      <c r="F20" s="13">
        <v>52000</v>
      </c>
      <c r="G20" s="13">
        <v>500</v>
      </c>
      <c r="H20" s="15">
        <f t="shared" si="1"/>
        <v>52500</v>
      </c>
      <c r="J20" s="31">
        <f>IF($B20&lt;=Calculator!$C$10,0,36000+MIN(25000000,300*ROUNDUP(MAX(0,MIN($B20,5000000)-1000000)/10000,0)+100*ROUNDUP(MAX(0,MIN($B20,10000000)-5000000)/10000,0)+75*ROUNDUP(MAX(0,$B20-10000000)/10000,0)))</f>
        <v>111000</v>
      </c>
      <c r="K20" s="31">
        <f>IF($B20&lt;=Calculator!$C$10,0,IF($B20&lt;=5000000,2000+200*ROUNDUP(MAX(0,$B20-1000000)/10000,0),J20))</f>
        <v>52000</v>
      </c>
      <c r="L20" s="31">
        <f>IF($B20&lt;=Calculator!$C$10,0,IF($B20&lt;=100000,200,IF($B20&lt;500000,300,IF($B20&lt;2500000,400,IF($B20&lt;10000000,500,600)))))</f>
        <v>500</v>
      </c>
      <c r="M20" s="32">
        <f t="shared" si="2"/>
        <v>0</v>
      </c>
      <c r="N20" s="32">
        <f t="shared" si="3"/>
        <v>0</v>
      </c>
    </row>
    <row r="21" spans="2:14" x14ac:dyDescent="0.3">
      <c r="B21" s="33">
        <v>4000000</v>
      </c>
      <c r="C21" s="34">
        <v>126000</v>
      </c>
      <c r="D21" s="34">
        <v>500</v>
      </c>
      <c r="E21" s="35">
        <f t="shared" si="0"/>
        <v>126500</v>
      </c>
      <c r="F21" s="34">
        <v>62000</v>
      </c>
      <c r="G21" s="34">
        <v>500</v>
      </c>
      <c r="H21" s="35">
        <f t="shared" si="1"/>
        <v>62500</v>
      </c>
      <c r="J21" s="31">
        <f>IF($B21&lt;=Calculator!$C$10,0,36000+MIN(25000000,300*ROUNDUP(MAX(0,MIN($B21,5000000)-1000000)/10000,0)+100*ROUNDUP(MAX(0,MIN($B21,10000000)-5000000)/10000,0)+75*ROUNDUP(MAX(0,$B21-10000000)/10000,0)))</f>
        <v>126000</v>
      </c>
      <c r="K21" s="31">
        <f>IF($B21&lt;=Calculator!$C$10,0,IF($B21&lt;=5000000,2000+200*ROUNDUP(MAX(0,$B21-1000000)/10000,0),J21))</f>
        <v>62000</v>
      </c>
      <c r="L21" s="31">
        <f>IF($B21&lt;=Calculator!$C$10,0,IF($B21&lt;=100000,200,IF($B21&lt;500000,300,IF($B21&lt;2500000,400,IF($B21&lt;10000000,500,600)))))</f>
        <v>500</v>
      </c>
      <c r="M21" s="32">
        <f t="shared" si="2"/>
        <v>0</v>
      </c>
      <c r="N21" s="32">
        <f t="shared" si="3"/>
        <v>0</v>
      </c>
    </row>
    <row r="22" spans="2:14" x14ac:dyDescent="0.3">
      <c r="B22" s="30">
        <v>4500000</v>
      </c>
      <c r="C22" s="13">
        <v>141000</v>
      </c>
      <c r="D22" s="13">
        <v>500</v>
      </c>
      <c r="E22" s="15">
        <f t="shared" si="0"/>
        <v>141500</v>
      </c>
      <c r="F22" s="13">
        <v>72000</v>
      </c>
      <c r="G22" s="13">
        <v>500</v>
      </c>
      <c r="H22" s="15">
        <f t="shared" si="1"/>
        <v>72500</v>
      </c>
      <c r="J22" s="31">
        <f>IF($B22&lt;=Calculator!$C$10,0,36000+MIN(25000000,300*ROUNDUP(MAX(0,MIN($B22,5000000)-1000000)/10000,0)+100*ROUNDUP(MAX(0,MIN($B22,10000000)-5000000)/10000,0)+75*ROUNDUP(MAX(0,$B22-10000000)/10000,0)))</f>
        <v>141000</v>
      </c>
      <c r="K22" s="31">
        <f>IF($B22&lt;=Calculator!$C$10,0,IF($B22&lt;=5000000,2000+200*ROUNDUP(MAX(0,$B22-1000000)/10000,0),J22))</f>
        <v>72000</v>
      </c>
      <c r="L22" s="31">
        <f>IF($B22&lt;=Calculator!$C$10,0,IF($B22&lt;=100000,200,IF($B22&lt;500000,300,IF($B22&lt;2500000,400,IF($B22&lt;10000000,500,600)))))</f>
        <v>500</v>
      </c>
      <c r="M22" s="32">
        <f t="shared" si="2"/>
        <v>0</v>
      </c>
      <c r="N22" s="32">
        <f t="shared" si="3"/>
        <v>0</v>
      </c>
    </row>
    <row r="23" spans="2:14" x14ac:dyDescent="0.3">
      <c r="B23" s="33">
        <v>5000000</v>
      </c>
      <c r="C23" s="34">
        <v>156000</v>
      </c>
      <c r="D23" s="34">
        <v>500</v>
      </c>
      <c r="E23" s="35">
        <f t="shared" si="0"/>
        <v>156500</v>
      </c>
      <c r="F23" s="34">
        <v>82000</v>
      </c>
      <c r="G23" s="34">
        <v>500</v>
      </c>
      <c r="H23" s="35">
        <f t="shared" si="1"/>
        <v>82500</v>
      </c>
      <c r="J23" s="31">
        <f>IF($B23&lt;=Calculator!$C$10,0,36000+MIN(25000000,300*ROUNDUP(MAX(0,MIN($B23,5000000)-1000000)/10000,0)+100*ROUNDUP(MAX(0,MIN($B23,10000000)-5000000)/10000,0)+75*ROUNDUP(MAX(0,$B23-10000000)/10000,0)))</f>
        <v>156000</v>
      </c>
      <c r="K23" s="31">
        <f>IF($B23&lt;=Calculator!$C$10,0,IF($B23&lt;=5000000,2000+200*ROUNDUP(MAX(0,$B23-1000000)/10000,0),J23))</f>
        <v>82000</v>
      </c>
      <c r="L23" s="31">
        <f>IF($B23&lt;=Calculator!$C$10,0,IF($B23&lt;=100000,200,IF($B23&lt;500000,300,IF($B23&lt;2500000,400,IF($B23&lt;10000000,500,600)))))</f>
        <v>500</v>
      </c>
      <c r="M23" s="32">
        <f t="shared" si="2"/>
        <v>0</v>
      </c>
      <c r="N23" s="32">
        <f t="shared" si="3"/>
        <v>0</v>
      </c>
    </row>
    <row r="24" spans="2:14" x14ac:dyDescent="0.3">
      <c r="B24" s="30">
        <v>6000000</v>
      </c>
      <c r="C24" s="13">
        <v>166000</v>
      </c>
      <c r="D24" s="13">
        <v>500</v>
      </c>
      <c r="E24" s="15">
        <f t="shared" si="0"/>
        <v>166500</v>
      </c>
      <c r="F24" s="13">
        <v>166000</v>
      </c>
      <c r="G24" s="13">
        <v>500</v>
      </c>
      <c r="H24" s="15">
        <f t="shared" si="1"/>
        <v>166500</v>
      </c>
      <c r="J24" s="31">
        <f>IF($B24&lt;=Calculator!$C$10,0,36000+MIN(25000000,300*ROUNDUP(MAX(0,MIN($B24,5000000)-1000000)/10000,0)+100*ROUNDUP(MAX(0,MIN($B24,10000000)-5000000)/10000,0)+75*ROUNDUP(MAX(0,$B24-10000000)/10000,0)))</f>
        <v>166000</v>
      </c>
      <c r="K24" s="31">
        <f>IF($B24&lt;=Calculator!$C$10,0,IF($B24&lt;=5000000,2000+200*ROUNDUP(MAX(0,$B24-1000000)/10000,0),J24))</f>
        <v>166000</v>
      </c>
      <c r="L24" s="31">
        <f>IF($B24&lt;=Calculator!$C$10,0,IF($B24&lt;=100000,200,IF($B24&lt;500000,300,IF($B24&lt;2500000,400,IF($B24&lt;10000000,500,600)))))</f>
        <v>500</v>
      </c>
      <c r="M24" s="32">
        <f t="shared" si="2"/>
        <v>0</v>
      </c>
      <c r="N24" s="32">
        <f t="shared" si="3"/>
        <v>0</v>
      </c>
    </row>
    <row r="25" spans="2:14" x14ac:dyDescent="0.3">
      <c r="B25" s="33">
        <v>7000000</v>
      </c>
      <c r="C25" s="34">
        <v>176000</v>
      </c>
      <c r="D25" s="34">
        <v>500</v>
      </c>
      <c r="E25" s="35">
        <f t="shared" si="0"/>
        <v>176500</v>
      </c>
      <c r="F25" s="34">
        <v>176000</v>
      </c>
      <c r="G25" s="34">
        <v>500</v>
      </c>
      <c r="H25" s="35">
        <f t="shared" si="1"/>
        <v>176500</v>
      </c>
      <c r="J25" s="31">
        <f>IF($B25&lt;=Calculator!$C$10,0,36000+MIN(25000000,300*ROUNDUP(MAX(0,MIN($B25,5000000)-1000000)/10000,0)+100*ROUNDUP(MAX(0,MIN($B25,10000000)-5000000)/10000,0)+75*ROUNDUP(MAX(0,$B25-10000000)/10000,0)))</f>
        <v>176000</v>
      </c>
      <c r="K25" s="31">
        <f>IF($B25&lt;=Calculator!$C$10,0,IF($B25&lt;=5000000,2000+200*ROUNDUP(MAX(0,$B25-1000000)/10000,0),J25))</f>
        <v>176000</v>
      </c>
      <c r="L25" s="31">
        <f>IF($B25&lt;=Calculator!$C$10,0,IF($B25&lt;=100000,200,IF($B25&lt;500000,300,IF($B25&lt;2500000,400,IF($B25&lt;10000000,500,600)))))</f>
        <v>500</v>
      </c>
      <c r="M25" s="32">
        <f t="shared" si="2"/>
        <v>0</v>
      </c>
      <c r="N25" s="32">
        <f t="shared" si="3"/>
        <v>0</v>
      </c>
    </row>
    <row r="26" spans="2:14" x14ac:dyDescent="0.3">
      <c r="B26" s="30">
        <v>8000000</v>
      </c>
      <c r="C26" s="13">
        <v>186000</v>
      </c>
      <c r="D26" s="13">
        <v>500</v>
      </c>
      <c r="E26" s="15">
        <f t="shared" si="0"/>
        <v>186500</v>
      </c>
      <c r="F26" s="13">
        <v>186000</v>
      </c>
      <c r="G26" s="13">
        <v>500</v>
      </c>
      <c r="H26" s="15">
        <f t="shared" si="1"/>
        <v>186500</v>
      </c>
      <c r="J26" s="31">
        <f>IF($B26&lt;=Calculator!$C$10,0,36000+MIN(25000000,300*ROUNDUP(MAX(0,MIN($B26,5000000)-1000000)/10000,0)+100*ROUNDUP(MAX(0,MIN($B26,10000000)-5000000)/10000,0)+75*ROUNDUP(MAX(0,$B26-10000000)/10000,0)))</f>
        <v>186000</v>
      </c>
      <c r="K26" s="31">
        <f>IF($B26&lt;=Calculator!$C$10,0,IF($B26&lt;=5000000,2000+200*ROUNDUP(MAX(0,$B26-1000000)/10000,0),J26))</f>
        <v>186000</v>
      </c>
      <c r="L26" s="31">
        <f>IF($B26&lt;=Calculator!$C$10,0,IF($B26&lt;=100000,200,IF($B26&lt;500000,300,IF($B26&lt;2500000,400,IF($B26&lt;10000000,500,600)))))</f>
        <v>500</v>
      </c>
      <c r="M26" s="32">
        <f t="shared" si="2"/>
        <v>0</v>
      </c>
      <c r="N26" s="32">
        <f t="shared" si="3"/>
        <v>0</v>
      </c>
    </row>
    <row r="27" spans="2:14" x14ac:dyDescent="0.3">
      <c r="B27" s="33">
        <v>9000000</v>
      </c>
      <c r="C27" s="34">
        <v>196000</v>
      </c>
      <c r="D27" s="34">
        <v>500</v>
      </c>
      <c r="E27" s="35">
        <f t="shared" si="0"/>
        <v>196500</v>
      </c>
      <c r="F27" s="34">
        <v>196000</v>
      </c>
      <c r="G27" s="34">
        <v>500</v>
      </c>
      <c r="H27" s="35">
        <f t="shared" si="1"/>
        <v>196500</v>
      </c>
      <c r="J27" s="31">
        <f>IF($B27&lt;=Calculator!$C$10,0,36000+MIN(25000000,300*ROUNDUP(MAX(0,MIN($B27,5000000)-1000000)/10000,0)+100*ROUNDUP(MAX(0,MIN($B27,10000000)-5000000)/10000,0)+75*ROUNDUP(MAX(0,$B27-10000000)/10000,0)))</f>
        <v>196000</v>
      </c>
      <c r="K27" s="31">
        <f>IF($B27&lt;=Calculator!$C$10,0,IF($B27&lt;=5000000,2000+200*ROUNDUP(MAX(0,$B27-1000000)/10000,0),J27))</f>
        <v>196000</v>
      </c>
      <c r="L27" s="31">
        <f>IF($B27&lt;=Calculator!$C$10,0,IF($B27&lt;=100000,200,IF($B27&lt;500000,300,IF($B27&lt;2500000,400,IF($B27&lt;10000000,500,600)))))</f>
        <v>500</v>
      </c>
      <c r="M27" s="32">
        <f t="shared" si="2"/>
        <v>0</v>
      </c>
      <c r="N27" s="32">
        <f t="shared" si="3"/>
        <v>0</v>
      </c>
    </row>
    <row r="28" spans="2:14" x14ac:dyDescent="0.3">
      <c r="B28" s="30">
        <v>10000000</v>
      </c>
      <c r="C28" s="13">
        <v>206000</v>
      </c>
      <c r="D28" s="13">
        <v>600</v>
      </c>
      <c r="E28" s="15">
        <f t="shared" si="0"/>
        <v>206600</v>
      </c>
      <c r="F28" s="13">
        <v>206000</v>
      </c>
      <c r="G28" s="13">
        <v>600</v>
      </c>
      <c r="H28" s="15">
        <f t="shared" si="1"/>
        <v>206600</v>
      </c>
      <c r="J28" s="31">
        <f>IF($B28&lt;=Calculator!$C$10,0,36000+MIN(25000000,300*ROUNDUP(MAX(0,MIN($B28,5000000)-1000000)/10000,0)+100*ROUNDUP(MAX(0,MIN($B28,10000000)-5000000)/10000,0)+75*ROUNDUP(MAX(0,$B28-10000000)/10000,0)))</f>
        <v>206000</v>
      </c>
      <c r="K28" s="31">
        <f>IF($B28&lt;=Calculator!$C$10,0,IF($B28&lt;=5000000,2000+200*ROUNDUP(MAX(0,$B28-1000000)/10000,0),J28))</f>
        <v>206000</v>
      </c>
      <c r="L28" s="31">
        <f>IF($B28&lt;=Calculator!$C$10,0,IF($B28&lt;=100000,200,IF($B28&lt;500000,300,IF($B28&lt;2500000,400,IF($B28&lt;10000000,500,600)))))</f>
        <v>600</v>
      </c>
      <c r="M28" s="32">
        <f t="shared" si="2"/>
        <v>0</v>
      </c>
      <c r="N28" s="32">
        <f t="shared" si="3"/>
        <v>0</v>
      </c>
    </row>
    <row r="29" spans="2:14" x14ac:dyDescent="0.3">
      <c r="B29" s="33">
        <v>20000000</v>
      </c>
      <c r="C29" s="34">
        <v>281000</v>
      </c>
      <c r="D29" s="34">
        <v>600</v>
      </c>
      <c r="E29" s="35">
        <f t="shared" si="0"/>
        <v>281600</v>
      </c>
      <c r="F29" s="34">
        <v>281000</v>
      </c>
      <c r="G29" s="34">
        <v>600</v>
      </c>
      <c r="H29" s="35">
        <f t="shared" si="1"/>
        <v>281600</v>
      </c>
      <c r="J29" s="31">
        <f>IF($B29&lt;=Calculator!$C$10,0,36000+MIN(25000000,300*ROUNDUP(MAX(0,MIN($B29,5000000)-1000000)/10000,0)+100*ROUNDUP(MAX(0,MIN($B29,10000000)-5000000)/10000,0)+75*ROUNDUP(MAX(0,$B29-10000000)/10000,0)))</f>
        <v>281000</v>
      </c>
      <c r="K29" s="31">
        <f>IF($B29&lt;=Calculator!$C$10,0,IF($B29&lt;=5000000,2000+200*ROUNDUP(MAX(0,$B29-1000000)/10000,0),J29))</f>
        <v>281000</v>
      </c>
      <c r="L29" s="31">
        <f>IF($B29&lt;=Calculator!$C$10,0,IF($B29&lt;=100000,200,IF($B29&lt;500000,300,IF($B29&lt;2500000,400,IF($B29&lt;10000000,500,600)))))</f>
        <v>600</v>
      </c>
      <c r="M29" s="32">
        <f t="shared" si="2"/>
        <v>0</v>
      </c>
      <c r="N29" s="32">
        <f t="shared" si="3"/>
        <v>0</v>
      </c>
    </row>
    <row r="30" spans="2:14" x14ac:dyDescent="0.3">
      <c r="B30" s="30">
        <v>30000000</v>
      </c>
      <c r="C30" s="13">
        <v>356000</v>
      </c>
      <c r="D30" s="13">
        <v>600</v>
      </c>
      <c r="E30" s="15">
        <f t="shared" si="0"/>
        <v>356600</v>
      </c>
      <c r="F30" s="13">
        <v>356000</v>
      </c>
      <c r="G30" s="13">
        <v>600</v>
      </c>
      <c r="H30" s="15">
        <f t="shared" si="1"/>
        <v>356600</v>
      </c>
      <c r="J30" s="31">
        <f>IF($B30&lt;=Calculator!$C$10,0,36000+MIN(25000000,300*ROUNDUP(MAX(0,MIN($B30,5000000)-1000000)/10000,0)+100*ROUNDUP(MAX(0,MIN($B30,10000000)-5000000)/10000,0)+75*ROUNDUP(MAX(0,$B30-10000000)/10000,0)))</f>
        <v>356000</v>
      </c>
      <c r="K30" s="31">
        <f>IF($B30&lt;=Calculator!$C$10,0,IF($B30&lt;=5000000,2000+200*ROUNDUP(MAX(0,$B30-1000000)/10000,0),J30))</f>
        <v>356000</v>
      </c>
      <c r="L30" s="31">
        <f>IF($B30&lt;=Calculator!$C$10,0,IF($B30&lt;=100000,200,IF($B30&lt;500000,300,IF($B30&lt;2500000,400,IF($B30&lt;10000000,500,600)))))</f>
        <v>600</v>
      </c>
      <c r="M30" s="32">
        <f t="shared" si="2"/>
        <v>0</v>
      </c>
      <c r="N30" s="32">
        <f t="shared" si="3"/>
        <v>0</v>
      </c>
    </row>
    <row r="31" spans="2:14" x14ac:dyDescent="0.3">
      <c r="B31" s="33">
        <v>40000000</v>
      </c>
      <c r="C31" s="34">
        <v>431000</v>
      </c>
      <c r="D31" s="34">
        <v>600</v>
      </c>
      <c r="E31" s="35">
        <f t="shared" si="0"/>
        <v>431600</v>
      </c>
      <c r="F31" s="34">
        <v>431000</v>
      </c>
      <c r="G31" s="34">
        <v>600</v>
      </c>
      <c r="H31" s="35">
        <f t="shared" si="1"/>
        <v>431600</v>
      </c>
      <c r="J31" s="31">
        <f>IF($B31&lt;=Calculator!$C$10,0,36000+MIN(25000000,300*ROUNDUP(MAX(0,MIN($B31,5000000)-1000000)/10000,0)+100*ROUNDUP(MAX(0,MIN($B31,10000000)-5000000)/10000,0)+75*ROUNDUP(MAX(0,$B31-10000000)/10000,0)))</f>
        <v>431000</v>
      </c>
      <c r="K31" s="31">
        <f>IF($B31&lt;=Calculator!$C$10,0,IF($B31&lt;=5000000,2000+200*ROUNDUP(MAX(0,$B31-1000000)/10000,0),J31))</f>
        <v>431000</v>
      </c>
      <c r="L31" s="31">
        <f>IF($B31&lt;=Calculator!$C$10,0,IF($B31&lt;=100000,200,IF($B31&lt;500000,300,IF($B31&lt;2500000,400,IF($B31&lt;10000000,500,600)))))</f>
        <v>600</v>
      </c>
      <c r="M31" s="32">
        <f t="shared" si="2"/>
        <v>0</v>
      </c>
      <c r="N31" s="32">
        <f t="shared" si="3"/>
        <v>0</v>
      </c>
    </row>
    <row r="32" spans="2:14" x14ac:dyDescent="0.3">
      <c r="B32" s="30">
        <v>50000000</v>
      </c>
      <c r="C32" s="13">
        <v>506000</v>
      </c>
      <c r="D32" s="13">
        <v>600</v>
      </c>
      <c r="E32" s="15">
        <f t="shared" si="0"/>
        <v>506600</v>
      </c>
      <c r="F32" s="13">
        <v>506000</v>
      </c>
      <c r="G32" s="13">
        <v>600</v>
      </c>
      <c r="H32" s="15">
        <f t="shared" si="1"/>
        <v>506600</v>
      </c>
      <c r="J32" s="31">
        <f>IF($B32&lt;=Calculator!$C$10,0,36000+MIN(25000000,300*ROUNDUP(MAX(0,MIN($B32,5000000)-1000000)/10000,0)+100*ROUNDUP(MAX(0,MIN($B32,10000000)-5000000)/10000,0)+75*ROUNDUP(MAX(0,$B32-10000000)/10000,0)))</f>
        <v>506000</v>
      </c>
      <c r="K32" s="31">
        <f>IF($B32&lt;=Calculator!$C$10,0,IF($B32&lt;=5000000,2000+200*ROUNDUP(MAX(0,$B32-1000000)/10000,0),J32))</f>
        <v>506000</v>
      </c>
      <c r="L32" s="31">
        <f>IF($B32&lt;=Calculator!$C$10,0,IF($B32&lt;=100000,200,IF($B32&lt;500000,300,IF($B32&lt;2500000,400,IF($B32&lt;10000000,500,600)))))</f>
        <v>600</v>
      </c>
      <c r="M32" s="32">
        <f t="shared" si="2"/>
        <v>0</v>
      </c>
      <c r="N32" s="32">
        <f t="shared" si="3"/>
        <v>0</v>
      </c>
    </row>
    <row r="34" spans="2:14" ht="25.5" customHeight="1" x14ac:dyDescent="0.3">
      <c r="B34" s="52" t="s">
        <v>73</v>
      </c>
      <c r="C34" s="52"/>
      <c r="D34" s="52"/>
      <c r="E34" s="52"/>
      <c r="F34" s="52"/>
      <c r="G34" s="52"/>
      <c r="H34" s="52"/>
      <c r="I34" s="52"/>
      <c r="J34" s="52"/>
      <c r="K34" s="52"/>
      <c r="L34" s="52"/>
      <c r="M34" s="52"/>
      <c r="N34" s="52"/>
    </row>
    <row r="35" spans="2:14" ht="25.5" customHeight="1" x14ac:dyDescent="0.3">
      <c r="B35" s="52" t="s">
        <v>74</v>
      </c>
      <c r="C35" s="52"/>
      <c r="D35" s="52"/>
      <c r="E35" s="52"/>
      <c r="F35" s="52"/>
      <c r="G35" s="52"/>
      <c r="H35" s="52"/>
      <c r="I35" s="52"/>
      <c r="J35" s="52"/>
      <c r="K35" s="52"/>
      <c r="L35" s="52"/>
      <c r="M35" s="52"/>
      <c r="N35" s="52"/>
    </row>
    <row r="36" spans="2:14" ht="25.5" customHeight="1" x14ac:dyDescent="0.3">
      <c r="B36" s="52" t="s">
        <v>75</v>
      </c>
      <c r="C36" s="52"/>
      <c r="D36" s="52"/>
      <c r="E36" s="52"/>
      <c r="F36" s="52"/>
      <c r="G36" s="52"/>
      <c r="H36" s="52"/>
      <c r="I36" s="52"/>
      <c r="J36" s="52"/>
      <c r="K36" s="52"/>
      <c r="L36" s="52"/>
      <c r="M36" s="52"/>
      <c r="N36" s="52"/>
    </row>
    <row r="37" spans="2:14" ht="25.5" customHeight="1" x14ac:dyDescent="0.3">
      <c r="B37" s="52" t="s">
        <v>76</v>
      </c>
      <c r="C37" s="52"/>
      <c r="D37" s="52"/>
      <c r="E37" s="52"/>
      <c r="F37" s="52"/>
      <c r="G37" s="52"/>
      <c r="H37" s="52"/>
      <c r="I37" s="52"/>
      <c r="J37" s="52"/>
      <c r="K37" s="52"/>
      <c r="L37" s="52"/>
      <c r="M37" s="52"/>
      <c r="N37" s="52"/>
    </row>
  </sheetData>
  <mergeCells count="10">
    <mergeCell ref="B34:N34"/>
    <mergeCell ref="B35:N35"/>
    <mergeCell ref="B36:N36"/>
    <mergeCell ref="B37:N37"/>
    <mergeCell ref="B2:N2"/>
    <mergeCell ref="B3:N3"/>
    <mergeCell ref="B6:B7"/>
    <mergeCell ref="C6:E6"/>
    <mergeCell ref="F6:H6"/>
    <mergeCell ref="J6:N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B2:P46"/>
  <sheetViews>
    <sheetView showGridLines="0" zoomScaleNormal="100" workbookViewId="0">
      <pane xSplit="2" ySplit="7" topLeftCell="C8" activePane="bottomRight" state="frozen"/>
      <selection pane="topRight" activeCell="C1" sqref="C1"/>
      <selection pane="bottomLeft" activeCell="A8" sqref="A8"/>
      <selection pane="bottomRight" activeCell="B44" sqref="B44"/>
    </sheetView>
  </sheetViews>
  <sheetFormatPr defaultColWidth="8.6640625" defaultRowHeight="14.4" x14ac:dyDescent="0.3"/>
  <cols>
    <col min="1" max="1" width="3" customWidth="1"/>
    <col min="2" max="2" width="27" customWidth="1"/>
    <col min="3" max="4" width="11" customWidth="1"/>
    <col min="5" max="7" width="10" customWidth="1"/>
    <col min="8" max="8" width="9" customWidth="1"/>
    <col min="9" max="9" width="11" customWidth="1"/>
    <col min="10" max="10" width="13" customWidth="1"/>
    <col min="11" max="11" width="12" customWidth="1"/>
    <col min="12" max="12" width="10" customWidth="1"/>
    <col min="13" max="13" width="52" customWidth="1"/>
    <col min="14" max="14" width="12" customWidth="1"/>
    <col min="15" max="15" width="15" customWidth="1"/>
    <col min="16" max="16" width="16" customWidth="1"/>
  </cols>
  <sheetData>
    <row r="2" spans="2:16" ht="24" customHeight="1" x14ac:dyDescent="0.3">
      <c r="B2" s="49" t="s">
        <v>77</v>
      </c>
      <c r="C2" s="49"/>
      <c r="D2" s="49"/>
      <c r="E2" s="49"/>
      <c r="F2" s="49"/>
      <c r="G2" s="49"/>
      <c r="H2" s="49"/>
      <c r="I2" s="49"/>
      <c r="J2" s="49"/>
      <c r="K2" s="49"/>
      <c r="L2" s="49"/>
      <c r="M2" s="49"/>
      <c r="N2" s="49"/>
      <c r="O2" s="49"/>
      <c r="P2" s="49"/>
    </row>
    <row r="3" spans="2:16" ht="15.75" customHeight="1" x14ac:dyDescent="0.3">
      <c r="B3" s="50" t="s">
        <v>78</v>
      </c>
      <c r="C3" s="50"/>
      <c r="D3" s="50"/>
      <c r="E3" s="50"/>
      <c r="F3" s="50"/>
      <c r="G3" s="50"/>
      <c r="H3" s="50"/>
      <c r="I3" s="50"/>
      <c r="J3" s="50"/>
      <c r="K3" s="50"/>
      <c r="L3" s="50"/>
      <c r="M3" s="50"/>
      <c r="N3" s="50"/>
      <c r="O3" s="50"/>
      <c r="P3" s="50"/>
    </row>
    <row r="7" spans="2:16" ht="42" customHeight="1" x14ac:dyDescent="0.3">
      <c r="B7" s="2" t="s">
        <v>79</v>
      </c>
      <c r="C7" s="2" t="s">
        <v>80</v>
      </c>
      <c r="D7" s="2" t="s">
        <v>81</v>
      </c>
      <c r="E7" s="2" t="s">
        <v>82</v>
      </c>
      <c r="F7" s="2" t="s">
        <v>83</v>
      </c>
      <c r="G7" s="2" t="s">
        <v>84</v>
      </c>
      <c r="H7" s="2" t="s">
        <v>85</v>
      </c>
      <c r="I7" s="2" t="s">
        <v>86</v>
      </c>
      <c r="J7" s="2" t="s">
        <v>87</v>
      </c>
      <c r="K7" s="2" t="s">
        <v>88</v>
      </c>
      <c r="L7" s="2" t="s">
        <v>89</v>
      </c>
      <c r="M7" s="2" t="s">
        <v>90</v>
      </c>
      <c r="N7" s="2" t="s">
        <v>91</v>
      </c>
      <c r="O7" s="2" t="s">
        <v>92</v>
      </c>
      <c r="P7" s="2" t="s">
        <v>93</v>
      </c>
    </row>
    <row r="8" spans="2:16" x14ac:dyDescent="0.3">
      <c r="B8" s="36" t="s">
        <v>94</v>
      </c>
      <c r="C8" s="31">
        <v>20</v>
      </c>
      <c r="D8" s="31">
        <v>200</v>
      </c>
      <c r="E8" s="36" t="s">
        <v>95</v>
      </c>
      <c r="F8" s="37">
        <v>300</v>
      </c>
      <c r="G8" s="37">
        <v>0</v>
      </c>
      <c r="H8" s="38">
        <v>0</v>
      </c>
      <c r="I8" s="37">
        <v>0</v>
      </c>
      <c r="J8" s="37">
        <v>0</v>
      </c>
      <c r="K8" s="37">
        <v>0</v>
      </c>
      <c r="L8" s="37">
        <v>0</v>
      </c>
      <c r="M8" s="39" t="s">
        <v>96</v>
      </c>
      <c r="N8" s="40" t="s">
        <v>97</v>
      </c>
      <c r="O8" s="31">
        <f>IF($E8="NA","verify",IF($E8="FLAT",$F8,IF($E8="SLAB1L",IF(Calculator!$C$6&lt;=100000,$F8,$G8),IF($E8="PCT",MIN(MAX(Calculator!$C$6*$H8,$I8),$J8),IF($E8="BLOCK",MIN(CEILING(Calculator!$C$6/$K8,1)*$L8,$J8),IF($E8="KERALA",IF(Calculator!$C$6&lt;=1000000,2000,IF(Calculator!$C$6&lt;=2500000,5000,Calculator!$C$6*0.005)),"verify"))))))</f>
        <v>300</v>
      </c>
      <c r="P8" s="41">
        <f t="shared" ref="P8:P42" si="0">IF(ISNUMBER(O8),C8+D8+O8,"verify")</f>
        <v>520</v>
      </c>
    </row>
    <row r="9" spans="2:16" x14ac:dyDescent="0.3">
      <c r="B9" s="42" t="s">
        <v>98</v>
      </c>
      <c r="C9" s="43">
        <v>20</v>
      </c>
      <c r="D9" s="43">
        <v>500</v>
      </c>
      <c r="E9" s="42" t="s">
        <v>99</v>
      </c>
      <c r="F9" s="44">
        <v>0</v>
      </c>
      <c r="G9" s="44">
        <v>0</v>
      </c>
      <c r="H9" s="45">
        <v>1.5E-3</v>
      </c>
      <c r="I9" s="44">
        <v>1000</v>
      </c>
      <c r="J9" s="44">
        <v>500000</v>
      </c>
      <c r="K9" s="44">
        <v>0</v>
      </c>
      <c r="L9" s="44">
        <v>0</v>
      </c>
      <c r="M9" s="46" t="s">
        <v>100</v>
      </c>
      <c r="N9" s="47" t="s">
        <v>101</v>
      </c>
      <c r="O9" s="43">
        <f>IF($E9="NA","verify",IF($E9="FLAT",$F9,IF($E9="SLAB1L",IF(Calculator!$C$6&lt;=100000,$F9,$G9),IF($E9="PCT",MIN(MAX(Calculator!$C$6*$H9,$I9),$J9),IF($E9="BLOCK",MIN(CEILING(Calculator!$C$6/$K9,1)*$L9,$J9),IF($E9="KERALA",IF(Calculator!$C$6&lt;=1000000,2000,IF(Calculator!$C$6&lt;=2500000,5000,Calculator!$C$6*0.005)),"verify"))))))</f>
        <v>2250</v>
      </c>
      <c r="P9" s="32">
        <f t="shared" si="0"/>
        <v>2770</v>
      </c>
    </row>
    <row r="10" spans="2:16" x14ac:dyDescent="0.3">
      <c r="B10" s="36" t="s">
        <v>102</v>
      </c>
      <c r="C10" s="31">
        <v>10</v>
      </c>
      <c r="D10" s="31">
        <v>200</v>
      </c>
      <c r="E10" s="36" t="s">
        <v>95</v>
      </c>
      <c r="F10" s="37">
        <v>500</v>
      </c>
      <c r="G10" s="37">
        <v>0</v>
      </c>
      <c r="H10" s="38">
        <v>0</v>
      </c>
      <c r="I10" s="37">
        <v>0</v>
      </c>
      <c r="J10" s="37">
        <v>0</v>
      </c>
      <c r="K10" s="37">
        <v>0</v>
      </c>
      <c r="L10" s="37">
        <v>0</v>
      </c>
      <c r="M10" s="39" t="s">
        <v>103</v>
      </c>
      <c r="N10" s="40" t="s">
        <v>101</v>
      </c>
      <c r="O10" s="31">
        <f>IF($E10="NA","verify",IF($E10="FLAT",$F10,IF($E10="SLAB1L",IF(Calculator!$C$6&lt;=100000,$F10,$G10),IF($E10="PCT",MIN(MAX(Calculator!$C$6*$H10,$I10),$J10),IF($E10="BLOCK",MIN(CEILING(Calculator!$C$6/$K10,1)*$L10,$J10),IF($E10="KERALA",IF(Calculator!$C$6&lt;=1000000,2000,IF(Calculator!$C$6&lt;=2500000,5000,Calculator!$C$6*0.005)),"verify"))))))</f>
        <v>500</v>
      </c>
      <c r="P10" s="41">
        <f t="shared" si="0"/>
        <v>710</v>
      </c>
    </row>
    <row r="11" spans="2:16" x14ac:dyDescent="0.3">
      <c r="B11" s="42" t="s">
        <v>104</v>
      </c>
      <c r="C11" s="43">
        <v>15</v>
      </c>
      <c r="D11" s="43">
        <v>200</v>
      </c>
      <c r="E11" s="42" t="s">
        <v>95</v>
      </c>
      <c r="F11" s="44">
        <v>310</v>
      </c>
      <c r="G11" s="44">
        <v>0</v>
      </c>
      <c r="H11" s="45">
        <v>0</v>
      </c>
      <c r="I11" s="44">
        <v>0</v>
      </c>
      <c r="J11" s="44">
        <v>0</v>
      </c>
      <c r="K11" s="44">
        <v>0</v>
      </c>
      <c r="L11" s="44">
        <v>0</v>
      </c>
      <c r="M11" s="46" t="s">
        <v>105</v>
      </c>
      <c r="N11" s="47" t="s">
        <v>101</v>
      </c>
      <c r="O11" s="43">
        <f>IF($E11="NA","verify",IF($E11="FLAT",$F11,IF($E11="SLAB1L",IF(Calculator!$C$6&lt;=100000,$F11,$G11),IF($E11="PCT",MIN(MAX(Calculator!$C$6*$H11,$I11),$J11),IF($E11="BLOCK",MIN(CEILING(Calculator!$C$6/$K11,1)*$L11,$J11),IF($E11="KERALA",IF(Calculator!$C$6&lt;=1000000,2000,IF(Calculator!$C$6&lt;=2500000,5000,Calculator!$C$6*0.005)),"verify"))))))</f>
        <v>310</v>
      </c>
      <c r="P11" s="32">
        <f t="shared" si="0"/>
        <v>525</v>
      </c>
    </row>
    <row r="12" spans="2:16" x14ac:dyDescent="0.3">
      <c r="B12" s="36" t="s">
        <v>106</v>
      </c>
      <c r="C12" s="31">
        <v>20</v>
      </c>
      <c r="D12" s="31">
        <v>500</v>
      </c>
      <c r="E12" s="36" t="s">
        <v>99</v>
      </c>
      <c r="F12" s="37">
        <v>0</v>
      </c>
      <c r="G12" s="37">
        <v>0</v>
      </c>
      <c r="H12" s="38">
        <v>1.5E-3</v>
      </c>
      <c r="I12" s="37">
        <v>1000</v>
      </c>
      <c r="J12" s="37">
        <v>500000</v>
      </c>
      <c r="K12" s="37">
        <v>0</v>
      </c>
      <c r="L12" s="37">
        <v>0</v>
      </c>
      <c r="M12" s="39" t="s">
        <v>107</v>
      </c>
      <c r="N12" s="40" t="s">
        <v>97</v>
      </c>
      <c r="O12" s="31">
        <f>IF($E12="NA","verify",IF($E12="FLAT",$F12,IF($E12="SLAB1L",IF(Calculator!$C$6&lt;=100000,$F12,$G12),IF($E12="PCT",MIN(MAX(Calculator!$C$6*$H12,$I12),$J12),IF($E12="BLOCK",MIN(CEILING(Calculator!$C$6/$K12,1)*$L12,$J12),IF($E12="KERALA",IF(Calculator!$C$6&lt;=1000000,2000,IF(Calculator!$C$6&lt;=2500000,5000,Calculator!$C$6*0.005)),"verify"))))))</f>
        <v>2250</v>
      </c>
      <c r="P12" s="41">
        <f t="shared" si="0"/>
        <v>2770</v>
      </c>
    </row>
    <row r="13" spans="2:16" x14ac:dyDescent="0.3">
      <c r="B13" s="42" t="s">
        <v>108</v>
      </c>
      <c r="C13" s="43">
        <v>3</v>
      </c>
      <c r="D13" s="43">
        <v>500</v>
      </c>
      <c r="E13" s="42" t="s">
        <v>95</v>
      </c>
      <c r="F13" s="44">
        <v>1000</v>
      </c>
      <c r="G13" s="44">
        <v>0</v>
      </c>
      <c r="H13" s="45">
        <v>0</v>
      </c>
      <c r="I13" s="44">
        <v>0</v>
      </c>
      <c r="J13" s="44">
        <v>0</v>
      </c>
      <c r="K13" s="44">
        <v>0</v>
      </c>
      <c r="L13" s="44">
        <v>0</v>
      </c>
      <c r="M13" s="46" t="s">
        <v>109</v>
      </c>
      <c r="N13" s="47" t="s">
        <v>97</v>
      </c>
      <c r="O13" s="43">
        <f>IF($E13="NA","verify",IF($E13="FLAT",$F13,IF($E13="SLAB1L",IF(Calculator!$C$6&lt;=100000,$F13,$G13),IF($E13="PCT",MIN(MAX(Calculator!$C$6*$H13,$I13),$J13),IF($E13="BLOCK",MIN(CEILING(Calculator!$C$6/$K13,1)*$L13,$J13),IF($E13="KERALA",IF(Calculator!$C$6&lt;=1000000,2000,IF(Calculator!$C$6&lt;=2500000,5000,Calculator!$C$6*0.005)),"verify"))))))</f>
        <v>1000</v>
      </c>
      <c r="P13" s="32">
        <f t="shared" si="0"/>
        <v>1503</v>
      </c>
    </row>
    <row r="14" spans="2:16" x14ac:dyDescent="0.3">
      <c r="B14" s="36" t="s">
        <v>110</v>
      </c>
      <c r="C14" s="31">
        <v>10</v>
      </c>
      <c r="D14" s="31">
        <v>500</v>
      </c>
      <c r="E14" s="36" t="s">
        <v>99</v>
      </c>
      <c r="F14" s="37">
        <v>0</v>
      </c>
      <c r="G14" s="37">
        <v>0</v>
      </c>
      <c r="H14" s="38">
        <v>1.5E-3</v>
      </c>
      <c r="I14" s="37">
        <v>1000</v>
      </c>
      <c r="J14" s="37">
        <v>500000</v>
      </c>
      <c r="K14" s="37">
        <v>0</v>
      </c>
      <c r="L14" s="37">
        <v>0</v>
      </c>
      <c r="M14" s="39" t="s">
        <v>107</v>
      </c>
      <c r="N14" s="40" t="s">
        <v>97</v>
      </c>
      <c r="O14" s="31">
        <f>IF($E14="NA","verify",IF($E14="FLAT",$F14,IF($E14="SLAB1L",IF(Calculator!$C$6&lt;=100000,$F14,$G14),IF($E14="PCT",MIN(MAX(Calculator!$C$6*$H14,$I14),$J14),IF($E14="BLOCK",MIN(CEILING(Calculator!$C$6/$K14,1)*$L14,$J14),IF($E14="KERALA",IF(Calculator!$C$6&lt;=1000000,2000,IF(Calculator!$C$6&lt;=2500000,5000,Calculator!$C$6*0.005)),"verify"))))))</f>
        <v>2250</v>
      </c>
      <c r="P14" s="41">
        <f t="shared" si="0"/>
        <v>2760</v>
      </c>
    </row>
    <row r="15" spans="2:16" x14ac:dyDescent="0.3">
      <c r="B15" s="42" t="s">
        <v>111</v>
      </c>
      <c r="C15" s="43">
        <v>1</v>
      </c>
      <c r="D15" s="43">
        <v>15</v>
      </c>
      <c r="E15" s="42" t="s">
        <v>95</v>
      </c>
      <c r="F15" s="44">
        <v>25</v>
      </c>
      <c r="G15" s="44">
        <v>0</v>
      </c>
      <c r="H15" s="45">
        <v>0</v>
      </c>
      <c r="I15" s="44">
        <v>0</v>
      </c>
      <c r="J15" s="44">
        <v>0</v>
      </c>
      <c r="K15" s="44">
        <v>0</v>
      </c>
      <c r="L15" s="44">
        <v>0</v>
      </c>
      <c r="M15" s="46" t="s">
        <v>112</v>
      </c>
      <c r="N15" s="47" t="s">
        <v>97</v>
      </c>
      <c r="O15" s="43">
        <f>IF($E15="NA","verify",IF($E15="FLAT",$F15,IF($E15="SLAB1L",IF(Calculator!$C$6&lt;=100000,$F15,$G15),IF($E15="PCT",MIN(MAX(Calculator!$C$6*$H15,$I15),$J15),IF($E15="BLOCK",MIN(CEILING(Calculator!$C$6/$K15,1)*$L15,$J15),IF($E15="KERALA",IF(Calculator!$C$6&lt;=1000000,2000,IF(Calculator!$C$6&lt;=2500000,5000,Calculator!$C$6*0.005)),"verify"))))))</f>
        <v>25</v>
      </c>
      <c r="P15" s="32">
        <f t="shared" si="0"/>
        <v>41</v>
      </c>
    </row>
    <row r="16" spans="2:16" x14ac:dyDescent="0.3">
      <c r="B16" s="36" t="s">
        <v>113</v>
      </c>
      <c r="C16" s="31">
        <v>20</v>
      </c>
      <c r="D16" s="31">
        <v>150</v>
      </c>
      <c r="E16" s="36" t="s">
        <v>114</v>
      </c>
      <c r="F16" s="37">
        <v>0</v>
      </c>
      <c r="G16" s="37">
        <v>0</v>
      </c>
      <c r="H16" s="38">
        <v>0</v>
      </c>
      <c r="I16" s="37">
        <v>0</v>
      </c>
      <c r="J16" s="37">
        <v>1000000000</v>
      </c>
      <c r="K16" s="37">
        <v>500000</v>
      </c>
      <c r="L16" s="37">
        <v>1000</v>
      </c>
      <c r="M16" s="39" t="s">
        <v>115</v>
      </c>
      <c r="N16" s="40" t="s">
        <v>97</v>
      </c>
      <c r="O16" s="31">
        <f>IF($E16="NA","verify",IF($E16="FLAT",$F16,IF($E16="SLAB1L",IF(Calculator!$C$6&lt;=100000,$F16,$G16),IF($E16="PCT",MIN(MAX(Calculator!$C$6*$H16,$I16),$J16),IF($E16="BLOCK",MIN(CEILING(Calculator!$C$6/$K16,1)*$L16,$J16),IF($E16="KERALA",IF(Calculator!$C$6&lt;=1000000,2000,IF(Calculator!$C$6&lt;=2500000,5000,Calculator!$C$6*0.005)),"verify"))))))</f>
        <v>3000</v>
      </c>
      <c r="P16" s="41">
        <f t="shared" si="0"/>
        <v>3170</v>
      </c>
    </row>
    <row r="17" spans="2:16" x14ac:dyDescent="0.3">
      <c r="B17" s="42" t="s">
        <v>116</v>
      </c>
      <c r="C17" s="43">
        <v>10</v>
      </c>
      <c r="D17" s="43">
        <v>200</v>
      </c>
      <c r="E17" s="42" t="s">
        <v>99</v>
      </c>
      <c r="F17" s="44">
        <v>0</v>
      </c>
      <c r="G17" s="44">
        <v>0</v>
      </c>
      <c r="H17" s="45">
        <v>1.5E-3</v>
      </c>
      <c r="I17" s="44">
        <v>0</v>
      </c>
      <c r="J17" s="44">
        <v>2500000</v>
      </c>
      <c r="K17" s="44">
        <v>0</v>
      </c>
      <c r="L17" s="44">
        <v>0</v>
      </c>
      <c r="M17" s="46" t="s">
        <v>117</v>
      </c>
      <c r="N17" s="47" t="s">
        <v>97</v>
      </c>
      <c r="O17" s="43">
        <f>IF($E17="NA","verify",IF($E17="FLAT",$F17,IF($E17="SLAB1L",IF(Calculator!$C$6&lt;=100000,$F17,$G17),IF($E17="PCT",MIN(MAX(Calculator!$C$6*$H17,$I17),$J17),IF($E17="BLOCK",MIN(CEILING(Calculator!$C$6/$K17,1)*$L17,$J17),IF($E17="KERALA",IF(Calculator!$C$6&lt;=1000000,2000,IF(Calculator!$C$6&lt;=2500000,5000,Calculator!$C$6*0.005)),"verify"))))))</f>
        <v>2250</v>
      </c>
      <c r="P17" s="32">
        <f t="shared" si="0"/>
        <v>2460</v>
      </c>
    </row>
    <row r="18" spans="2:16" x14ac:dyDescent="0.3">
      <c r="B18" s="36" t="s">
        <v>118</v>
      </c>
      <c r="C18" s="31">
        <v>50</v>
      </c>
      <c r="D18" s="31">
        <v>150</v>
      </c>
      <c r="E18" s="36" t="s">
        <v>114</v>
      </c>
      <c r="F18" s="37">
        <v>0</v>
      </c>
      <c r="G18" s="37">
        <v>0</v>
      </c>
      <c r="H18" s="38">
        <v>0</v>
      </c>
      <c r="I18" s="37">
        <v>0</v>
      </c>
      <c r="J18" s="37">
        <v>1000000000</v>
      </c>
      <c r="K18" s="37">
        <v>500000</v>
      </c>
      <c r="L18" s="37">
        <v>1000</v>
      </c>
      <c r="M18" s="39" t="s">
        <v>115</v>
      </c>
      <c r="N18" s="40" t="s">
        <v>97</v>
      </c>
      <c r="O18" s="31">
        <f>IF($E18="NA","verify",IF($E18="FLAT",$F18,IF($E18="SLAB1L",IF(Calculator!$C$6&lt;=100000,$F18,$G18),IF($E18="PCT",MIN(MAX(Calculator!$C$6*$H18,$I18),$J18),IF($E18="BLOCK",MIN(CEILING(Calculator!$C$6/$K18,1)*$L18,$J18),IF($E18="KERALA",IF(Calculator!$C$6&lt;=1000000,2000,IF(Calculator!$C$6&lt;=2500000,5000,Calculator!$C$6*0.005)),"verify"))))))</f>
        <v>3000</v>
      </c>
      <c r="P18" s="41">
        <f t="shared" si="0"/>
        <v>3200</v>
      </c>
    </row>
    <row r="19" spans="2:16" ht="33.75" customHeight="1" x14ac:dyDescent="0.3">
      <c r="B19" s="42" t="s">
        <v>119</v>
      </c>
      <c r="C19" s="43">
        <v>20</v>
      </c>
      <c r="D19" s="43">
        <v>100</v>
      </c>
      <c r="E19" s="42" t="s">
        <v>99</v>
      </c>
      <c r="F19" s="44">
        <v>0</v>
      </c>
      <c r="G19" s="44">
        <v>0</v>
      </c>
      <c r="H19" s="45">
        <v>5.0000000000000001E-3</v>
      </c>
      <c r="I19" s="44">
        <v>0</v>
      </c>
      <c r="J19" s="48">
        <v>1500000</v>
      </c>
      <c r="K19" s="44">
        <v>0</v>
      </c>
      <c r="L19" s="44">
        <v>0</v>
      </c>
      <c r="M19" s="46" t="s">
        <v>120</v>
      </c>
      <c r="N19" s="47" t="s">
        <v>97</v>
      </c>
      <c r="O19" s="43">
        <f>IF($E19="NA","verify",IF($E19="FLAT",$F19,IF($E19="SLAB1L",IF(Calculator!$C$6&lt;=100000,$F19,$G19),IF($E19="PCT",MIN(MAX(Calculator!$C$6*$H19,$I19),$J19),IF($E19="BLOCK",MIN(CEILING(Calculator!$C$6/$K19,1)*$L19,$J19),IF($E19="KERALA",IF(Calculator!$C$6&lt;=1000000,2000,IF(Calculator!$C$6&lt;=2500000,5000,Calculator!$C$6*0.005)),"verify"))))))</f>
        <v>7500</v>
      </c>
      <c r="P19" s="32">
        <f t="shared" si="0"/>
        <v>7620</v>
      </c>
    </row>
    <row r="20" spans="2:16" x14ac:dyDescent="0.3">
      <c r="B20" s="36" t="s">
        <v>8</v>
      </c>
      <c r="C20" s="31">
        <v>15</v>
      </c>
      <c r="D20" s="31">
        <v>60</v>
      </c>
      <c r="E20" s="36" t="s">
        <v>121</v>
      </c>
      <c r="F20" s="37">
        <v>60</v>
      </c>
      <c r="G20" s="37">
        <v>120</v>
      </c>
      <c r="H20" s="38">
        <v>0</v>
      </c>
      <c r="I20" s="37">
        <v>0</v>
      </c>
      <c r="J20" s="37">
        <v>0</v>
      </c>
      <c r="K20" s="37">
        <v>0</v>
      </c>
      <c r="L20" s="37">
        <v>0</v>
      </c>
      <c r="M20" s="39" t="s">
        <v>122</v>
      </c>
      <c r="N20" s="40" t="s">
        <v>97</v>
      </c>
      <c r="O20" s="31">
        <f>IF($E20="NA","verify",IF($E20="FLAT",$F20,IF($E20="SLAB1L",IF(Calculator!$C$6&lt;=100000,$F20,$G20),IF($E20="PCT",MIN(MAX(Calculator!$C$6*$H20,$I20),$J20),IF($E20="BLOCK",MIN(CEILING(Calculator!$C$6/$K20,1)*$L20,$J20),IF($E20="KERALA",IF(Calculator!$C$6&lt;=1000000,2000,IF(Calculator!$C$6&lt;=2500000,5000,Calculator!$C$6*0.005)),"verify"))))))</f>
        <v>120</v>
      </c>
      <c r="P20" s="41">
        <f t="shared" si="0"/>
        <v>195</v>
      </c>
    </row>
    <row r="21" spans="2:16" x14ac:dyDescent="0.3">
      <c r="B21" s="42" t="s">
        <v>123</v>
      </c>
      <c r="C21" s="43">
        <v>3</v>
      </c>
      <c r="D21" s="43">
        <v>60</v>
      </c>
      <c r="E21" s="42" t="s">
        <v>121</v>
      </c>
      <c r="F21" s="44">
        <v>60</v>
      </c>
      <c r="G21" s="44">
        <v>120</v>
      </c>
      <c r="H21" s="45">
        <v>0</v>
      </c>
      <c r="I21" s="44">
        <v>0</v>
      </c>
      <c r="J21" s="44">
        <v>0</v>
      </c>
      <c r="K21" s="44">
        <v>0</v>
      </c>
      <c r="L21" s="44">
        <v>0</v>
      </c>
      <c r="M21" s="46" t="s">
        <v>122</v>
      </c>
      <c r="N21" s="47" t="s">
        <v>97</v>
      </c>
      <c r="O21" s="43">
        <f>IF($E21="NA","verify",IF($E21="FLAT",$F21,IF($E21="SLAB1L",IF(Calculator!$C$6&lt;=100000,$F21,$G21),IF($E21="PCT",MIN(MAX(Calculator!$C$6*$H21,$I21),$J21),IF($E21="BLOCK",MIN(CEILING(Calculator!$C$6/$K21,1)*$L21,$J21),IF($E21="KERALA",IF(Calculator!$C$6&lt;=1000000,2000,IF(Calculator!$C$6&lt;=2500000,5000,Calculator!$C$6*0.005)),"verify"))))))</f>
        <v>120</v>
      </c>
      <c r="P21" s="32">
        <f t="shared" si="0"/>
        <v>183</v>
      </c>
    </row>
    <row r="22" spans="2:16" x14ac:dyDescent="0.3">
      <c r="B22" s="36" t="s">
        <v>124</v>
      </c>
      <c r="C22" s="31">
        <v>10</v>
      </c>
      <c r="D22" s="31">
        <v>150</v>
      </c>
      <c r="E22" s="36" t="s">
        <v>121</v>
      </c>
      <c r="F22" s="37">
        <v>150</v>
      </c>
      <c r="G22" s="37">
        <v>300</v>
      </c>
      <c r="H22" s="38">
        <v>0</v>
      </c>
      <c r="I22" s="37">
        <v>0</v>
      </c>
      <c r="J22" s="37">
        <v>0</v>
      </c>
      <c r="K22" s="37">
        <v>0</v>
      </c>
      <c r="L22" s="37">
        <v>0</v>
      </c>
      <c r="M22" s="39" t="s">
        <v>125</v>
      </c>
      <c r="N22" s="40" t="s">
        <v>97</v>
      </c>
      <c r="O22" s="31">
        <f>IF($E22="NA","verify",IF($E22="FLAT",$F22,IF($E22="SLAB1L",IF(Calculator!$C$6&lt;=100000,$F22,$G22),IF($E22="PCT",MIN(MAX(Calculator!$C$6*$H22,$I22),$J22),IF($E22="BLOCK",MIN(CEILING(Calculator!$C$6/$K22,1)*$L22,$J22),IF($E22="KERALA",IF(Calculator!$C$6&lt;=1000000,2000,IF(Calculator!$C$6&lt;=2500000,5000,Calculator!$C$6*0.005)),"verify"))))))</f>
        <v>300</v>
      </c>
      <c r="P22" s="41">
        <f t="shared" si="0"/>
        <v>460</v>
      </c>
    </row>
    <row r="23" spans="2:16" x14ac:dyDescent="0.3">
      <c r="B23" s="42" t="s">
        <v>126</v>
      </c>
      <c r="C23" s="43">
        <v>5</v>
      </c>
      <c r="D23" s="43">
        <v>63</v>
      </c>
      <c r="E23" s="42" t="s">
        <v>95</v>
      </c>
      <c r="F23" s="44">
        <v>105</v>
      </c>
      <c r="G23" s="44">
        <v>0</v>
      </c>
      <c r="H23" s="45">
        <v>0</v>
      </c>
      <c r="I23" s="44">
        <v>0</v>
      </c>
      <c r="J23" s="44">
        <v>0</v>
      </c>
      <c r="K23" s="44">
        <v>0</v>
      </c>
      <c r="L23" s="44">
        <v>0</v>
      </c>
      <c r="M23" s="46" t="s">
        <v>127</v>
      </c>
      <c r="N23" s="47" t="s">
        <v>97</v>
      </c>
      <c r="O23" s="43">
        <f>IF($E23="NA","verify",IF($E23="FLAT",$F23,IF($E23="SLAB1L",IF(Calculator!$C$6&lt;=100000,$F23,$G23),IF($E23="PCT",MIN(MAX(Calculator!$C$6*$H23,$I23),$J23),IF($E23="BLOCK",MIN(CEILING(Calculator!$C$6/$K23,1)*$L23,$J23),IF($E23="KERALA",IF(Calculator!$C$6&lt;=1000000,2000,IF(Calculator!$C$6&lt;=2500000,5000,Calculator!$C$6*0.005)),"verify"))))))</f>
        <v>105</v>
      </c>
      <c r="P23" s="32">
        <f t="shared" si="0"/>
        <v>173</v>
      </c>
    </row>
    <row r="24" spans="2:16" x14ac:dyDescent="0.3">
      <c r="B24" s="36" t="s">
        <v>128</v>
      </c>
      <c r="C24" s="31">
        <v>20</v>
      </c>
      <c r="D24" s="31">
        <v>1000</v>
      </c>
      <c r="E24" s="36" t="s">
        <v>114</v>
      </c>
      <c r="F24" s="37">
        <v>0</v>
      </c>
      <c r="G24" s="37">
        <v>0</v>
      </c>
      <c r="H24" s="38">
        <v>0</v>
      </c>
      <c r="I24" s="37">
        <v>0</v>
      </c>
      <c r="J24" s="37">
        <v>1000000000</v>
      </c>
      <c r="K24" s="37">
        <v>1000000</v>
      </c>
      <c r="L24" s="37">
        <v>500</v>
      </c>
      <c r="M24" s="39" t="s">
        <v>129</v>
      </c>
      <c r="N24" s="40" t="s">
        <v>97</v>
      </c>
      <c r="O24" s="31">
        <f>IF($E24="NA","verify",IF($E24="FLAT",$F24,IF($E24="SLAB1L",IF(Calculator!$C$6&lt;=100000,$F24,$G24),IF($E24="PCT",MIN(MAX(Calculator!$C$6*$H24,$I24),$J24),IF($E24="BLOCK",MIN(CEILING(Calculator!$C$6/$K24,1)*$L24,$J24),IF($E24="KERALA",IF(Calculator!$C$6&lt;=1000000,2000,IF(Calculator!$C$6&lt;=2500000,5000,Calculator!$C$6*0.005)),"verify"))))))</f>
        <v>1000</v>
      </c>
      <c r="P24" s="41">
        <f t="shared" si="0"/>
        <v>2020</v>
      </c>
    </row>
    <row r="25" spans="2:16" ht="22.5" customHeight="1" x14ac:dyDescent="0.3">
      <c r="B25" s="42" t="s">
        <v>130</v>
      </c>
      <c r="C25" s="43">
        <v>25</v>
      </c>
      <c r="D25" s="43">
        <v>1000</v>
      </c>
      <c r="E25" s="42" t="s">
        <v>131</v>
      </c>
      <c r="F25" s="44">
        <v>0</v>
      </c>
      <c r="G25" s="44">
        <v>0</v>
      </c>
      <c r="H25" s="45">
        <v>0</v>
      </c>
      <c r="I25" s="44">
        <v>0</v>
      </c>
      <c r="J25" s="44">
        <v>0</v>
      </c>
      <c r="K25" s="44">
        <v>0</v>
      </c>
      <c r="L25" s="44">
        <v>0</v>
      </c>
      <c r="M25" s="46" t="s">
        <v>132</v>
      </c>
      <c r="N25" s="47" t="s">
        <v>101</v>
      </c>
      <c r="O25" s="43">
        <f>IF($E25="NA","verify",IF($E25="FLAT",$F25,IF($E25="SLAB1L",IF(Calculator!$C$6&lt;=100000,$F25,$G25),IF($E25="PCT",MIN(MAX(Calculator!$C$6*$H25,$I25),$J25),IF($E25="BLOCK",MIN(CEILING(Calculator!$C$6/$K25,1)*$L25,$J25),IF($E25="KERALA",IF(Calculator!$C$6&lt;=1000000,2000,IF(Calculator!$C$6&lt;=2500000,5000,Calculator!$C$6*0.005)),"verify"))))))</f>
        <v>5000</v>
      </c>
      <c r="P25" s="32">
        <f t="shared" si="0"/>
        <v>6025</v>
      </c>
    </row>
    <row r="26" spans="2:16" x14ac:dyDescent="0.3">
      <c r="B26" s="42" t="s">
        <v>133</v>
      </c>
      <c r="C26" s="43">
        <v>25</v>
      </c>
      <c r="D26" s="43">
        <v>500</v>
      </c>
      <c r="E26" s="42" t="s">
        <v>95</v>
      </c>
      <c r="F26" s="44">
        <v>1000</v>
      </c>
      <c r="G26" s="44">
        <v>0</v>
      </c>
      <c r="H26" s="45">
        <v>0</v>
      </c>
      <c r="I26" s="44">
        <v>0</v>
      </c>
      <c r="J26" s="44">
        <v>0</v>
      </c>
      <c r="K26" s="44">
        <v>0</v>
      </c>
      <c r="L26" s="44">
        <v>0</v>
      </c>
      <c r="M26" s="46" t="s">
        <v>109</v>
      </c>
      <c r="N26" s="47" t="s">
        <v>101</v>
      </c>
      <c r="O26" s="43">
        <f>IF($E26="NA","verify",IF($E26="FLAT",$F26,IF($E26="SLAB1L",IF(Calculator!$C$6&lt;=100000,$F26,$G26),IF($E26="PCT",MIN(MAX(Calculator!$C$6*$H26,$I26),$J26),IF($E26="BLOCK",MIN(CEILING(Calculator!$C$6/$K26,1)*$L26,$J26),IF($E26="KERALA",IF(Calculator!$C$6&lt;=1000000,2000,IF(Calculator!$C$6&lt;=2500000,5000,Calculator!$C$6*0.005)),"verify"))))))</f>
        <v>1000</v>
      </c>
      <c r="P26" s="32">
        <f t="shared" si="0"/>
        <v>1525</v>
      </c>
    </row>
    <row r="27" spans="2:16" x14ac:dyDescent="0.3">
      <c r="B27" s="36" t="s">
        <v>134</v>
      </c>
      <c r="C27" s="31">
        <v>50</v>
      </c>
      <c r="D27" s="31">
        <v>2500</v>
      </c>
      <c r="E27" s="36" t="s">
        <v>99</v>
      </c>
      <c r="F27" s="37">
        <v>0</v>
      </c>
      <c r="G27" s="37">
        <v>0</v>
      </c>
      <c r="H27" s="38">
        <v>1.5E-3</v>
      </c>
      <c r="I27" s="37">
        <v>5000</v>
      </c>
      <c r="J27" s="37">
        <v>2500000</v>
      </c>
      <c r="K27" s="37">
        <v>0</v>
      </c>
      <c r="L27" s="37">
        <v>0</v>
      </c>
      <c r="M27" s="39" t="s">
        <v>135</v>
      </c>
      <c r="N27" s="47" t="s">
        <v>101</v>
      </c>
      <c r="O27" s="31">
        <f>IF($E27="NA","verify",IF($E27="FLAT",$F27,IF($E27="SLAB1L",IF(Calculator!$C$6&lt;=100000,$F27,$G27),IF($E27="PCT",MIN(MAX(Calculator!$C$6*$H27,$I27),$J27),IF($E27="BLOCK",MIN(CEILING(Calculator!$C$6/$K27,1)*$L27,$J27),IF($E27="KERALA",IF(Calculator!$C$6&lt;=1000000,2000,IF(Calculator!$C$6&lt;=2500000,5000,Calculator!$C$6*0.005)),"verify"))))))</f>
        <v>5000</v>
      </c>
      <c r="P27" s="41">
        <f t="shared" si="0"/>
        <v>7550</v>
      </c>
    </row>
    <row r="28" spans="2:16" ht="22.5" customHeight="1" x14ac:dyDescent="0.3">
      <c r="B28" s="42" t="s">
        <v>136</v>
      </c>
      <c r="C28" s="43">
        <v>100</v>
      </c>
      <c r="D28" s="43">
        <v>200</v>
      </c>
      <c r="E28" s="42" t="s">
        <v>114</v>
      </c>
      <c r="F28" s="44">
        <v>0</v>
      </c>
      <c r="G28" s="44">
        <v>0</v>
      </c>
      <c r="H28" s="45">
        <v>0</v>
      </c>
      <c r="I28" s="44">
        <v>0</v>
      </c>
      <c r="J28" s="44">
        <v>5000000</v>
      </c>
      <c r="K28" s="44">
        <v>500000</v>
      </c>
      <c r="L28" s="44">
        <v>1000</v>
      </c>
      <c r="M28" s="46" t="s">
        <v>137</v>
      </c>
      <c r="N28" s="47" t="s">
        <v>97</v>
      </c>
      <c r="O28" s="43">
        <f>IF($E28="NA","verify",IF($E28="FLAT",$F28,IF($E28="SLAB1L",IF(Calculator!$C$6&lt;=100000,$F28,$G28),IF($E28="PCT",MIN(MAX(Calculator!$C$6*$H28,$I28),$J28),IF($E28="BLOCK",MIN(CEILING(Calculator!$C$6/$K28,1)*$L28,$J28),IF($E28="KERALA",IF(Calculator!$C$6&lt;=1000000,2000,IF(Calculator!$C$6&lt;=2500000,5000,Calculator!$C$6*0.005)),"verify"))))))</f>
        <v>3000</v>
      </c>
      <c r="P28" s="32">
        <f t="shared" si="0"/>
        <v>3300</v>
      </c>
    </row>
    <row r="29" spans="2:16" x14ac:dyDescent="0.3">
      <c r="B29" s="36" t="s">
        <v>138</v>
      </c>
      <c r="C29" s="31">
        <v>10</v>
      </c>
      <c r="D29" s="31">
        <v>100</v>
      </c>
      <c r="E29" s="36" t="s">
        <v>95</v>
      </c>
      <c r="F29" s="37">
        <v>150</v>
      </c>
      <c r="G29" s="37">
        <v>0</v>
      </c>
      <c r="H29" s="38">
        <v>0</v>
      </c>
      <c r="I29" s="37">
        <v>0</v>
      </c>
      <c r="J29" s="37">
        <v>0</v>
      </c>
      <c r="K29" s="37">
        <v>0</v>
      </c>
      <c r="L29" s="37">
        <v>0</v>
      </c>
      <c r="M29" s="39" t="s">
        <v>139</v>
      </c>
      <c r="N29" s="40" t="s">
        <v>101</v>
      </c>
      <c r="O29" s="31">
        <f>IF($E29="NA","verify",IF($E29="FLAT",$F29,IF($E29="SLAB1L",IF(Calculator!$C$6&lt;=100000,$F29,$G29),IF($E29="PCT",MIN(MAX(Calculator!$C$6*$H29,$I29),$J29),IF($E29="BLOCK",MIN(CEILING(Calculator!$C$6/$K29,1)*$L29,$J29),IF($E29="KERALA",IF(Calculator!$C$6&lt;=1000000,2000,IF(Calculator!$C$6&lt;=2500000,5000,Calculator!$C$6*0.005)),"verify"))))))</f>
        <v>150</v>
      </c>
      <c r="P29" s="41">
        <f t="shared" si="0"/>
        <v>260</v>
      </c>
    </row>
    <row r="30" spans="2:16" x14ac:dyDescent="0.3">
      <c r="B30" s="42" t="s">
        <v>140</v>
      </c>
      <c r="C30" s="43">
        <v>10</v>
      </c>
      <c r="D30" s="43">
        <v>100</v>
      </c>
      <c r="E30" s="42" t="s">
        <v>95</v>
      </c>
      <c r="F30" s="44">
        <v>300</v>
      </c>
      <c r="G30" s="44">
        <v>0</v>
      </c>
      <c r="H30" s="45">
        <v>0</v>
      </c>
      <c r="I30" s="44">
        <v>0</v>
      </c>
      <c r="J30" s="44">
        <v>0</v>
      </c>
      <c r="K30" s="44">
        <v>0</v>
      </c>
      <c r="L30" s="44">
        <v>0</v>
      </c>
      <c r="M30" s="46" t="s">
        <v>96</v>
      </c>
      <c r="N30" s="47" t="s">
        <v>101</v>
      </c>
      <c r="O30" s="43">
        <f>IF($E30="NA","verify",IF($E30="FLAT",$F30,IF($E30="SLAB1L",IF(Calculator!$C$6&lt;=100000,$F30,$G30),IF($E30="PCT",MIN(MAX(Calculator!$C$6*$H30,$I30),$J30),IF($E30="BLOCK",MIN(CEILING(Calculator!$C$6/$K30,1)*$L30,$J30),IF($E30="KERALA",IF(Calculator!$C$6&lt;=1000000,2000,IF(Calculator!$C$6&lt;=2500000,5000,Calculator!$C$6*0.005)),"verify"))))))</f>
        <v>300</v>
      </c>
      <c r="P30" s="32">
        <f t="shared" si="0"/>
        <v>410</v>
      </c>
    </row>
    <row r="31" spans="2:16" x14ac:dyDescent="0.3">
      <c r="B31" s="36" t="s">
        <v>141</v>
      </c>
      <c r="C31" s="31">
        <v>10</v>
      </c>
      <c r="D31" s="31">
        <v>100</v>
      </c>
      <c r="E31" s="36" t="s">
        <v>95</v>
      </c>
      <c r="F31" s="37">
        <v>150</v>
      </c>
      <c r="G31" s="37">
        <v>0</v>
      </c>
      <c r="H31" s="38">
        <v>0</v>
      </c>
      <c r="I31" s="37">
        <v>0</v>
      </c>
      <c r="J31" s="37">
        <v>0</v>
      </c>
      <c r="K31" s="37">
        <v>0</v>
      </c>
      <c r="L31" s="37">
        <v>0</v>
      </c>
      <c r="M31" s="39" t="s">
        <v>139</v>
      </c>
      <c r="N31" s="40" t="s">
        <v>101</v>
      </c>
      <c r="O31" s="31">
        <f>IF($E31="NA","verify",IF($E31="FLAT",$F31,IF($E31="SLAB1L",IF(Calculator!$C$6&lt;=100000,$F31,$G31),IF($E31="PCT",MIN(MAX(Calculator!$C$6*$H31,$I31),$J31),IF($E31="BLOCK",MIN(CEILING(Calculator!$C$6/$K31,1)*$L31,$J31),IF($E31="KERALA",IF(Calculator!$C$6&lt;=1000000,2000,IF(Calculator!$C$6&lt;=2500000,5000,Calculator!$C$6*0.005)),"verify"))))))</f>
        <v>150</v>
      </c>
      <c r="P31" s="41">
        <f t="shared" si="0"/>
        <v>260</v>
      </c>
    </row>
    <row r="32" spans="2:16" x14ac:dyDescent="0.3">
      <c r="B32" s="42" t="s">
        <v>142</v>
      </c>
      <c r="C32" s="43">
        <v>10</v>
      </c>
      <c r="D32" s="43">
        <v>100</v>
      </c>
      <c r="E32" s="42" t="s">
        <v>95</v>
      </c>
      <c r="F32" s="44">
        <v>150</v>
      </c>
      <c r="G32" s="44">
        <v>0</v>
      </c>
      <c r="H32" s="45">
        <v>0</v>
      </c>
      <c r="I32" s="44">
        <v>0</v>
      </c>
      <c r="J32" s="44">
        <v>0</v>
      </c>
      <c r="K32" s="44">
        <v>0</v>
      </c>
      <c r="L32" s="44">
        <v>0</v>
      </c>
      <c r="M32" s="46" t="s">
        <v>139</v>
      </c>
      <c r="N32" s="47" t="s">
        <v>101</v>
      </c>
      <c r="O32" s="43">
        <f>IF($E32="NA","verify",IF($E32="FLAT",$F32,IF($E32="SLAB1L",IF(Calculator!$C$6&lt;=100000,$F32,$G32),IF($E32="PCT",MIN(MAX(Calculator!$C$6*$H32,$I32),$J32),IF($E32="BLOCK",MIN(CEILING(Calculator!$C$6/$K32,1)*$L32,$J32),IF($E32="KERALA",IF(Calculator!$C$6&lt;=1000000,2000,IF(Calculator!$C$6&lt;=2500000,5000,Calculator!$C$6*0.005)),"verify"))))))</f>
        <v>150</v>
      </c>
      <c r="P32" s="32">
        <f t="shared" si="0"/>
        <v>260</v>
      </c>
    </row>
    <row r="33" spans="2:16" x14ac:dyDescent="0.3">
      <c r="B33" s="36" t="s">
        <v>143</v>
      </c>
      <c r="C33" s="31">
        <v>10</v>
      </c>
      <c r="D33" s="31">
        <v>300</v>
      </c>
      <c r="E33" s="36" t="s">
        <v>95</v>
      </c>
      <c r="F33" s="37">
        <v>300</v>
      </c>
      <c r="G33" s="37">
        <v>0</v>
      </c>
      <c r="H33" s="38">
        <v>0</v>
      </c>
      <c r="I33" s="37">
        <v>0</v>
      </c>
      <c r="J33" s="37">
        <v>0</v>
      </c>
      <c r="K33" s="37">
        <v>0</v>
      </c>
      <c r="L33" s="37">
        <v>0</v>
      </c>
      <c r="M33" s="39" t="s">
        <v>96</v>
      </c>
      <c r="N33" s="40" t="s">
        <v>101</v>
      </c>
      <c r="O33" s="31">
        <f>IF($E33="NA","verify",IF($E33="FLAT",$F33,IF($E33="SLAB1L",IF(Calculator!$C$6&lt;=100000,$F33,$G33),IF($E33="PCT",MIN(MAX(Calculator!$C$6*$H33,$I33),$J33),IF($E33="BLOCK",MIN(CEILING(Calculator!$C$6/$K33,1)*$L33,$J33),IF($E33="KERALA",IF(Calculator!$C$6&lt;=1000000,2000,IF(Calculator!$C$6&lt;=2500000,5000,Calculator!$C$6*0.005)),"verify"))))))</f>
        <v>300</v>
      </c>
      <c r="P33" s="41">
        <f t="shared" si="0"/>
        <v>610</v>
      </c>
    </row>
    <row r="34" spans="2:16" x14ac:dyDescent="0.3">
      <c r="B34" s="42" t="s">
        <v>144</v>
      </c>
      <c r="C34" s="43">
        <v>10</v>
      </c>
      <c r="D34" s="43">
        <v>200</v>
      </c>
      <c r="E34" s="42" t="s">
        <v>95</v>
      </c>
      <c r="F34" s="44">
        <v>300</v>
      </c>
      <c r="G34" s="44">
        <v>0</v>
      </c>
      <c r="H34" s="45">
        <v>0</v>
      </c>
      <c r="I34" s="44">
        <v>0</v>
      </c>
      <c r="J34" s="44">
        <v>0</v>
      </c>
      <c r="K34" s="44">
        <v>0</v>
      </c>
      <c r="L34" s="44">
        <v>0</v>
      </c>
      <c r="M34" s="46" t="s">
        <v>96</v>
      </c>
      <c r="N34" s="47" t="s">
        <v>97</v>
      </c>
      <c r="O34" s="43">
        <f>IF($E34="NA","verify",IF($E34="FLAT",$F34,IF($E34="SLAB1L",IF(Calculator!$C$6&lt;=100000,$F34,$G34),IF($E34="PCT",MIN(MAX(Calculator!$C$6*$H34,$I34),$J34),IF($E34="BLOCK",MIN(CEILING(Calculator!$C$6/$K34,1)*$L34,$J34),IF($E34="KERALA",IF(Calculator!$C$6&lt;=1000000,2000,IF(Calculator!$C$6&lt;=2500000,5000,Calculator!$C$6*0.005)),"verify"))))))</f>
        <v>300</v>
      </c>
      <c r="P34" s="32">
        <f t="shared" si="0"/>
        <v>510</v>
      </c>
    </row>
    <row r="35" spans="2:16" x14ac:dyDescent="0.3">
      <c r="B35" s="36" t="s">
        <v>145</v>
      </c>
      <c r="C35" s="31">
        <v>25</v>
      </c>
      <c r="D35" s="31">
        <v>5000</v>
      </c>
      <c r="E35" s="36" t="s">
        <v>121</v>
      </c>
      <c r="F35" s="37">
        <v>5000</v>
      </c>
      <c r="G35" s="37">
        <v>10000</v>
      </c>
      <c r="H35" s="38">
        <v>0</v>
      </c>
      <c r="I35" s="37">
        <v>0</v>
      </c>
      <c r="J35" s="37">
        <v>0</v>
      </c>
      <c r="K35" s="37">
        <v>0</v>
      </c>
      <c r="L35" s="37">
        <v>0</v>
      </c>
      <c r="M35" s="39" t="s">
        <v>146</v>
      </c>
      <c r="N35" s="40" t="s">
        <v>97</v>
      </c>
      <c r="O35" s="31">
        <f>IF($E35="NA","verify",IF($E35="FLAT",$F35,IF($E35="SLAB1L",IF(Calculator!$C$6&lt;=100000,$F35,$G35),IF($E35="PCT",MIN(MAX(Calculator!$C$6*$H35,$I35),$J35),IF($E35="BLOCK",MIN(CEILING(Calculator!$C$6/$K35,1)*$L35,$J35),IF($E35="KERALA",IF(Calculator!$C$6&lt;=1000000,2000,IF(Calculator!$C$6&lt;=2500000,5000,Calculator!$C$6*0.005)),"verify"))))))</f>
        <v>10000</v>
      </c>
      <c r="P35" s="41">
        <f t="shared" si="0"/>
        <v>15025</v>
      </c>
    </row>
    <row r="36" spans="2:16" x14ac:dyDescent="0.3">
      <c r="B36" s="42" t="s">
        <v>147</v>
      </c>
      <c r="C36" s="43">
        <v>10</v>
      </c>
      <c r="D36" s="43">
        <v>500</v>
      </c>
      <c r="E36" s="42" t="s">
        <v>99</v>
      </c>
      <c r="F36" s="44">
        <v>0</v>
      </c>
      <c r="G36" s="44">
        <v>0</v>
      </c>
      <c r="H36" s="45">
        <v>5.0000000000000001E-3</v>
      </c>
      <c r="I36" s="44">
        <v>0</v>
      </c>
      <c r="J36" s="44">
        <v>1000000000</v>
      </c>
      <c r="K36" s="44">
        <v>0</v>
      </c>
      <c r="L36" s="44">
        <v>0</v>
      </c>
      <c r="M36" s="46" t="s">
        <v>148</v>
      </c>
      <c r="N36" s="47" t="s">
        <v>101</v>
      </c>
      <c r="O36" s="43">
        <f>IF($E36="NA","verify",IF($E36="FLAT",$F36,IF($E36="SLAB1L",IF(Calculator!$C$6&lt;=100000,$F36,$G36),IF($E36="PCT",MIN(MAX(Calculator!$C$6*$H36,$I36),$J36),IF($E36="BLOCK",MIN(CEILING(Calculator!$C$6/$K36,1)*$L36,$J36),IF($E36="KERALA",IF(Calculator!$C$6&lt;=1000000,2000,IF(Calculator!$C$6&lt;=2500000,5000,Calculator!$C$6*0.005)),"verify"))))))</f>
        <v>7500</v>
      </c>
      <c r="P36" s="32">
        <f t="shared" si="0"/>
        <v>8010</v>
      </c>
    </row>
    <row r="37" spans="2:16" x14ac:dyDescent="0.3">
      <c r="B37" s="42" t="s">
        <v>149</v>
      </c>
      <c r="C37" s="43">
        <v>20</v>
      </c>
      <c r="D37" s="43">
        <v>200</v>
      </c>
      <c r="E37" s="42" t="s">
        <v>95</v>
      </c>
      <c r="F37" s="44">
        <v>300</v>
      </c>
      <c r="G37" s="44">
        <v>0</v>
      </c>
      <c r="H37" s="45">
        <v>0</v>
      </c>
      <c r="I37" s="44">
        <v>0</v>
      </c>
      <c r="J37" s="44">
        <v>0</v>
      </c>
      <c r="K37" s="44">
        <v>0</v>
      </c>
      <c r="L37" s="44">
        <v>0</v>
      </c>
      <c r="M37" s="46" t="s">
        <v>96</v>
      </c>
      <c r="N37" s="47" t="s">
        <v>97</v>
      </c>
      <c r="O37" s="43">
        <f>IF($E37="NA","verify",IF($E37="FLAT",$F37,IF($E37="SLAB1L",IF(Calculator!$C$6&lt;=100000,$F37,$G37),IF($E37="PCT",MIN(MAX(Calculator!$C$6*$H37,$I37),$J37),IF($E37="BLOCK",MIN(CEILING(Calculator!$C$6/$K37,1)*$L37,$J37),IF($E37="KERALA",IF(Calculator!$C$6&lt;=1000000,2000,IF(Calculator!$C$6&lt;=2500000,5000,Calculator!$C$6*0.005)),"verify"))))))</f>
        <v>300</v>
      </c>
      <c r="P37" s="32">
        <f t="shared" si="0"/>
        <v>520</v>
      </c>
    </row>
    <row r="38" spans="2:16" x14ac:dyDescent="0.3">
      <c r="B38" s="36" t="s">
        <v>150</v>
      </c>
      <c r="C38" s="31">
        <v>20</v>
      </c>
      <c r="D38" s="31">
        <v>500</v>
      </c>
      <c r="E38" s="36" t="s">
        <v>99</v>
      </c>
      <c r="F38" s="37">
        <v>0</v>
      </c>
      <c r="G38" s="37">
        <v>0</v>
      </c>
      <c r="H38" s="38">
        <v>1.5E-3</v>
      </c>
      <c r="I38" s="37">
        <v>1000</v>
      </c>
      <c r="J38" s="37">
        <v>500000</v>
      </c>
      <c r="K38" s="37">
        <v>0</v>
      </c>
      <c r="L38" s="37">
        <v>0</v>
      </c>
      <c r="M38" s="39" t="s">
        <v>100</v>
      </c>
      <c r="N38" s="40" t="s">
        <v>101</v>
      </c>
      <c r="O38" s="31">
        <f>IF($E38="NA","verify",IF($E38="FLAT",$F38,IF($E38="SLAB1L",IF(Calculator!$C$6&lt;=100000,$F38,$G38),IF($E38="PCT",MIN(MAX(Calculator!$C$6*$H38,$I38),$J38),IF($E38="BLOCK",MIN(CEILING(Calculator!$C$6/$K38,1)*$L38,$J38),IF($E38="KERALA",IF(Calculator!$C$6&lt;=1000000,2000,IF(Calculator!$C$6&lt;=2500000,5000,Calculator!$C$6*0.005)),"verify"))))))</f>
        <v>2250</v>
      </c>
      <c r="P38" s="41">
        <f t="shared" si="0"/>
        <v>2770</v>
      </c>
    </row>
    <row r="39" spans="2:16" x14ac:dyDescent="0.3">
      <c r="B39" s="42" t="s">
        <v>151</v>
      </c>
      <c r="C39" s="43">
        <v>10</v>
      </c>
      <c r="D39" s="43">
        <v>100</v>
      </c>
      <c r="E39" s="42" t="s">
        <v>95</v>
      </c>
      <c r="F39" s="44">
        <v>150</v>
      </c>
      <c r="G39" s="44">
        <v>0</v>
      </c>
      <c r="H39" s="45">
        <v>0</v>
      </c>
      <c r="I39" s="44">
        <v>0</v>
      </c>
      <c r="J39" s="44">
        <v>0</v>
      </c>
      <c r="K39" s="44">
        <v>0</v>
      </c>
      <c r="L39" s="44">
        <v>0</v>
      </c>
      <c r="M39" s="46" t="s">
        <v>139</v>
      </c>
      <c r="N39" s="47" t="s">
        <v>101</v>
      </c>
      <c r="O39" s="43">
        <f>IF($E39="NA","verify",IF($E39="FLAT",$F39,IF($E39="SLAB1L",IF(Calculator!$C$6&lt;=100000,$F39,$G39),IF($E39="PCT",MIN(MAX(Calculator!$C$6*$H39,$I39),$J39),IF($E39="BLOCK",MIN(CEILING(Calculator!$C$6/$K39,1)*$L39,$J39),IF($E39="KERALA",IF(Calculator!$C$6&lt;=1000000,2000,IF(Calculator!$C$6&lt;=2500000,5000,Calculator!$C$6*0.005)),"verify"))))))</f>
        <v>150</v>
      </c>
      <c r="P39" s="32">
        <f t="shared" si="0"/>
        <v>260</v>
      </c>
    </row>
    <row r="40" spans="2:16" x14ac:dyDescent="0.3">
      <c r="B40" s="36" t="s">
        <v>152</v>
      </c>
      <c r="C40" s="31">
        <v>10</v>
      </c>
      <c r="D40" s="31">
        <v>500</v>
      </c>
      <c r="E40" s="36" t="s">
        <v>95</v>
      </c>
      <c r="F40" s="37">
        <v>500</v>
      </c>
      <c r="G40" s="37">
        <v>0</v>
      </c>
      <c r="H40" s="38">
        <v>0</v>
      </c>
      <c r="I40" s="37">
        <v>0</v>
      </c>
      <c r="J40" s="37">
        <v>0</v>
      </c>
      <c r="K40" s="37">
        <v>0</v>
      </c>
      <c r="L40" s="37">
        <v>0</v>
      </c>
      <c r="M40" s="39" t="s">
        <v>103</v>
      </c>
      <c r="N40" s="40" t="s">
        <v>101</v>
      </c>
      <c r="O40" s="31">
        <f>IF($E40="NA","verify",IF($E40="FLAT",$F40,IF($E40="SLAB1L",IF(Calculator!$C$6&lt;=100000,$F40,$G40),IF($E40="PCT",MIN(MAX(Calculator!$C$6*$H40,$I40),$J40),IF($E40="BLOCK",MIN(CEILING(Calculator!$C$6/$K40,1)*$L40,$J40),IF($E40="KERALA",IF(Calculator!$C$6&lt;=1000000,2000,IF(Calculator!$C$6&lt;=2500000,5000,Calculator!$C$6*0.005)),"verify"))))))</f>
        <v>500</v>
      </c>
      <c r="P40" s="41">
        <f t="shared" si="0"/>
        <v>1010</v>
      </c>
    </row>
    <row r="41" spans="2:16" x14ac:dyDescent="0.3">
      <c r="B41" s="42" t="s">
        <v>153</v>
      </c>
      <c r="C41" s="43">
        <v>10</v>
      </c>
      <c r="D41" s="43">
        <v>500</v>
      </c>
      <c r="E41" s="42" t="s">
        <v>95</v>
      </c>
      <c r="F41" s="44">
        <v>500</v>
      </c>
      <c r="G41" s="44">
        <v>0</v>
      </c>
      <c r="H41" s="45">
        <v>0</v>
      </c>
      <c r="I41" s="44">
        <v>0</v>
      </c>
      <c r="J41" s="44">
        <v>0</v>
      </c>
      <c r="K41" s="44">
        <v>0</v>
      </c>
      <c r="L41" s="44">
        <v>0</v>
      </c>
      <c r="M41" s="46" t="s">
        <v>103</v>
      </c>
      <c r="N41" s="47" t="s">
        <v>101</v>
      </c>
      <c r="O41" s="43">
        <f>IF($E41="NA","verify",IF($E41="FLAT",$F41,IF($E41="SLAB1L",IF(Calculator!$C$6&lt;=100000,$F41,$G41),IF($E41="PCT",MIN(MAX(Calculator!$C$6*$H41,$I41),$J41),IF($E41="BLOCK",MIN(CEILING(Calculator!$C$6/$K41,1)*$L41,$J41),IF($E41="KERALA",IF(Calculator!$C$6&lt;=1000000,2000,IF(Calculator!$C$6&lt;=2500000,5000,Calculator!$C$6*0.005)),"verify"))))))</f>
        <v>500</v>
      </c>
      <c r="P41" s="32">
        <f t="shared" si="0"/>
        <v>1010</v>
      </c>
    </row>
    <row r="42" spans="2:16" x14ac:dyDescent="0.3">
      <c r="B42" s="36" t="s">
        <v>154</v>
      </c>
      <c r="C42" s="31">
        <v>10</v>
      </c>
      <c r="D42" s="31">
        <v>60</v>
      </c>
      <c r="E42" s="36" t="s">
        <v>95</v>
      </c>
      <c r="F42" s="37">
        <v>300</v>
      </c>
      <c r="G42" s="37">
        <v>0</v>
      </c>
      <c r="H42" s="38">
        <v>0</v>
      </c>
      <c r="I42" s="37">
        <v>0</v>
      </c>
      <c r="J42" s="37">
        <v>0</v>
      </c>
      <c r="K42" s="37">
        <v>0</v>
      </c>
      <c r="L42" s="37">
        <v>0</v>
      </c>
      <c r="M42" s="39" t="s">
        <v>96</v>
      </c>
      <c r="N42" s="40" t="s">
        <v>97</v>
      </c>
      <c r="O42" s="31">
        <f>IF($E42="NA","verify",IF($E42="FLAT",$F42,IF($E42="SLAB1L",IF(Calculator!$C$6&lt;=100000,$F42,$G42),IF($E42="PCT",MIN(MAX(Calculator!$C$6*$H42,$I42),$J42),IF($E42="BLOCK",MIN(CEILING(Calculator!$C$6/$K42,1)*$L42,$J42),IF($E42="KERALA",IF(Calculator!$C$6&lt;=1000000,2000,IF(Calculator!$C$6&lt;=2500000,5000,Calculator!$C$6*0.005)),"verify"))))))</f>
        <v>300</v>
      </c>
      <c r="P42" s="41">
        <f t="shared" si="0"/>
        <v>370</v>
      </c>
    </row>
    <row r="44" spans="2:16" ht="25.5" customHeight="1" x14ac:dyDescent="0.3">
      <c r="B44" s="52" t="s">
        <v>155</v>
      </c>
      <c r="C44" s="52"/>
      <c r="D44" s="52"/>
      <c r="E44" s="52"/>
      <c r="F44" s="52"/>
      <c r="G44" s="52"/>
      <c r="H44" s="52"/>
      <c r="I44" s="52"/>
      <c r="J44" s="52"/>
      <c r="K44" s="52"/>
      <c r="L44" s="52"/>
      <c r="M44" s="52"/>
      <c r="N44" s="52"/>
      <c r="O44" s="52"/>
      <c r="P44" s="52"/>
    </row>
    <row r="45" spans="2:16" ht="25.5" customHeight="1" x14ac:dyDescent="0.3">
      <c r="B45" s="52" t="s">
        <v>156</v>
      </c>
      <c r="C45" s="52"/>
      <c r="D45" s="52"/>
      <c r="E45" s="52"/>
      <c r="F45" s="52"/>
      <c r="G45" s="52"/>
      <c r="H45" s="52"/>
      <c r="I45" s="52"/>
      <c r="J45" s="52"/>
      <c r="K45" s="52"/>
      <c r="L45" s="52"/>
      <c r="M45" s="52"/>
      <c r="N45" s="52"/>
      <c r="O45" s="52"/>
      <c r="P45" s="52"/>
    </row>
    <row r="46" spans="2:16" ht="25.5" customHeight="1" x14ac:dyDescent="0.3">
      <c r="B46" s="55" t="s">
        <v>157</v>
      </c>
      <c r="C46" s="55"/>
      <c r="D46" s="55"/>
      <c r="E46" s="55"/>
      <c r="F46" s="55"/>
      <c r="G46" s="55"/>
      <c r="H46" s="55"/>
      <c r="I46" s="55"/>
      <c r="J46" s="55"/>
      <c r="K46" s="55"/>
      <c r="L46" s="55"/>
      <c r="M46" s="55"/>
      <c r="N46" s="55"/>
      <c r="O46" s="55"/>
      <c r="P46" s="55"/>
    </row>
  </sheetData>
  <mergeCells count="5">
    <mergeCell ref="B2:P2"/>
    <mergeCell ref="B3:P3"/>
    <mergeCell ref="B44:P44"/>
    <mergeCell ref="B45:P45"/>
    <mergeCell ref="B46:P46"/>
  </mergeCell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Calculator</vt:lpstr>
      <vt:lpstr>MCA Fees</vt:lpstr>
      <vt:lpstr>Stamp Duty</vt:lpstr>
      <vt:lpstr>Calculator!Print_Area</vt:lpstr>
      <vt:lpstr>StateList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2026-08-15T14:03:20Z</dcterms:created>
  <dcterms:modified xsi:type="dcterms:W3CDTF">2026-08-15T15:46:10Z</dcterms:modified>
  <dc:language>en-US</dc:language>
</cp:coreProperties>
</file>