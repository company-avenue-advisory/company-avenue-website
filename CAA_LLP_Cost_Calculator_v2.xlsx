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Download\"/>
    </mc:Choice>
  </mc:AlternateContent>
  <xr:revisionPtr revIDLastSave="0" documentId="13_ncr:1_{B5B28E56-917E-4A12-9161-FF943F1BE1DE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LLP Calculator" sheetId="1" r:id="rId1"/>
    <sheet name="MCA Fees LLP" sheetId="2" r:id="rId2"/>
    <sheet name="LLP Stamp Duty" sheetId="3" r:id="rId3"/>
    <sheet name="Stamp Duty Source" sheetId="4" r:id="rId4"/>
    <sheet name="Notes &amp; Verification" sheetId="5" r:id="rId5"/>
  </sheets>
  <definedNames>
    <definedName name="_xlnm._FilterDatabase" localSheetId="2" hidden="1">'LLP Stamp Duty'!$B$5:$I$41</definedName>
    <definedName name="LLPStateList">'LLP Stamp Duty'!$B$6:$B$41</definedName>
    <definedName name="_xlnm.Print_Area" localSheetId="0">'LLP Calculator'!$B$2:$E$59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41" i="3" l="1"/>
  <c r="I40" i="3"/>
  <c r="I39" i="3"/>
  <c r="I38" i="3"/>
  <c r="I37" i="3"/>
  <c r="I36" i="3"/>
  <c r="I35" i="3"/>
  <c r="I34" i="3"/>
  <c r="I33" i="3"/>
  <c r="I32" i="3"/>
  <c r="I31" i="3"/>
  <c r="I30" i="3"/>
  <c r="I29" i="3"/>
  <c r="I28" i="3"/>
  <c r="I27" i="3"/>
  <c r="I26" i="3"/>
  <c r="I25" i="3"/>
  <c r="I24" i="3"/>
  <c r="I23" i="3"/>
  <c r="I22" i="3"/>
  <c r="I21" i="3"/>
  <c r="I20" i="3"/>
  <c r="I19" i="3"/>
  <c r="I18" i="3"/>
  <c r="I17" i="3"/>
  <c r="I16" i="3"/>
  <c r="I15" i="3"/>
  <c r="I14" i="3"/>
  <c r="I13" i="3"/>
  <c r="I12" i="3"/>
  <c r="I11" i="3"/>
  <c r="I10" i="3"/>
  <c r="I9" i="3"/>
  <c r="I8" i="3"/>
  <c r="I7" i="3"/>
  <c r="I6" i="3"/>
  <c r="C44" i="1"/>
  <c r="C46" i="1" s="1"/>
  <c r="C39" i="1"/>
  <c r="C41" i="1" s="1"/>
  <c r="C35" i="1"/>
  <c r="C29" i="1"/>
  <c r="C30" i="1" s="1"/>
  <c r="D24" i="1"/>
  <c r="C20" i="1"/>
  <c r="C17" i="1"/>
  <c r="C14" i="1"/>
  <c r="C13" i="1"/>
  <c r="C49" i="1" l="1"/>
  <c r="E24" i="1"/>
  <c r="C24" i="1"/>
  <c r="C25" i="1" s="1"/>
  <c r="D19" i="1"/>
  <c r="C19" i="1"/>
  <c r="D18" i="1"/>
  <c r="C18" i="1"/>
  <c r="C56" i="1"/>
  <c r="C51" i="1"/>
  <c r="C57" i="1" s="1"/>
  <c r="C21" i="1" l="1"/>
  <c r="C55" i="1" s="1"/>
  <c r="C58" i="1" s="1"/>
</calcChain>
</file>

<file path=xl/sharedStrings.xml><?xml version="1.0" encoding="utf-8"?>
<sst xmlns="http://schemas.openxmlformats.org/spreadsheetml/2006/main" count="400" uniqueCount="262">
  <si>
    <t>LLP Incorporation Cost Calculator — MCA Fee + State Stamp Duty</t>
  </si>
  <si>
    <t>Limited Liability Partnership Act, 2008 and the LLP Rules, 2009 (Table of Fees), read with the State Stamp Acts  |  All amounts in Indian Rupees</t>
  </si>
  <si>
    <t>Blue figures on a yellow fill are inputs — edit those only.   Green = read from another tab.   Black = computed here.</t>
  </si>
  <si>
    <t>INPUTS</t>
  </si>
  <si>
    <t>Edit the yellow cells only</t>
  </si>
  <si>
    <t>Total capital contribution — all partners combined (Rs.)</t>
  </si>
  <si>
    <t>State / Union Territory of registered office</t>
  </si>
  <si>
    <t>Delhi</t>
  </si>
  <si>
    <t>Number of designated partners</t>
  </si>
  <si>
    <t>Minimum of two under section 7 of the LLP Act, 2008.</t>
  </si>
  <si>
    <t>Designated partners requiring a fresh DPIN / DIN</t>
  </si>
  <si>
    <t>Count only partners who do not already hold a DIN or DPIN. Leave at nil if DPIN for the first two is absorbed in the FiLLiP fee.</t>
  </si>
  <si>
    <t>Include name reservation (RUN-LLP / FiLLiP Part A)?</t>
  </si>
  <si>
    <t>Yes</t>
  </si>
  <si>
    <t>Number of Digital Signature Certificates required</t>
  </si>
  <si>
    <t>Professional fee — CAA (Rs.)</t>
  </si>
  <si>
    <t>Fee carried from the source calculator. The second pricing block in that file quoted ₹3,950 — settle which applies.</t>
  </si>
  <si>
    <t>Helper — fee band row on 'MCA Fees LLP'</t>
  </si>
  <si>
    <t>Helper — State row on 'LLP Stamp Duty'</t>
  </si>
  <si>
    <t>A.   MCA STATUTORY FEE</t>
  </si>
  <si>
    <t>LLP Rules, 2009 — Table of Fees</t>
  </si>
  <si>
    <t>Name reservation (RUN-LLP / FiLLiP Part A)</t>
  </si>
  <si>
    <t>Annexure A</t>
  </si>
  <si>
    <t>Flat statutory fee per application.</t>
  </si>
  <si>
    <t>FiLLiP incorporation fee</t>
  </si>
  <si>
    <t>Band determined by total capital contribution.</t>
  </si>
  <si>
    <t>Form 3 filing fee — LLP agreement</t>
  </si>
  <si>
    <t>Form 3 must be filed within 30 days of incorporation and requires certification by a practising professional.</t>
  </si>
  <si>
    <t>DPIN / DIN allotment</t>
  </si>
  <si>
    <t>Per partner</t>
  </si>
  <si>
    <t>Nil where every designated partner already holds a DIN or DPIN.</t>
  </si>
  <si>
    <t>Sub-total — MCA statutory fee</t>
  </si>
  <si>
    <t>B.   STAMP DUTY ON THE LLP AGREEMENT</t>
  </si>
  <si>
    <t>Executed on stamp paper</t>
  </si>
  <si>
    <t>Stamp duty on the LLP agreement</t>
  </si>
  <si>
    <t>Sub-total — stamp duty</t>
  </si>
  <si>
    <t>Unlike a private limited company, the LLP agreement is a physical instrument executed on stamp paper and is not filed electronically at incorporation. The duty above is therefore a real stamp paper cost, and franking or notarisation in Section D is a separate charge on top of it.</t>
  </si>
  <si>
    <t>C.   OTHER STATUTORY CHARGES</t>
  </si>
  <si>
    <t>PAN and TAN government fee</t>
  </si>
  <si>
    <t>Issued on incorporation</t>
  </si>
  <si>
    <t>Recovered at actuals. Confirm the current charge on the MCA payment screen before quoting.</t>
  </si>
  <si>
    <t>Sub-total — other statutory charges</t>
  </si>
  <si>
    <t>D.   FRANKING, NOTARY AND OUT-OF-POCKET</t>
  </si>
  <si>
    <t>Charged at actuals</t>
  </si>
  <si>
    <t>Franking, stamp paper procurement and notarisation</t>
  </si>
  <si>
    <t>Coordination of stamping and notarisation of the LLP agreement. The source calculator carried ₹1,799 in one block and ₹1,950 in the other — settle which applies.</t>
  </si>
  <si>
    <t>Courier, printing and other out-of-pocket</t>
  </si>
  <si>
    <t>Enter actuals only. Leave at nil where absorbed in the professional fee.</t>
  </si>
  <si>
    <t>Sub-total — franking, notary and out-of-pocket</t>
  </si>
  <si>
    <t>Recover these charges as a pure-agent disbursement (no GST)?</t>
  </si>
  <si>
    <t>No</t>
  </si>
  <si>
    <t>No = absorbed into the CAA fee and charged with GST, which is how the source calculator treated it. Yes = billed at actuals against third-party receipts and excluded from the value of supply under Rule 33 of the CGST Rules, 2017.</t>
  </si>
  <si>
    <t>E.   DIGITAL SIGNATURE CERTIFICATES (DSC)</t>
  </si>
  <si>
    <t>Number of DSCs required (per input block)</t>
  </si>
  <si>
    <t>Cost per DSC — Class 3, two-year validity (Rs.)</t>
  </si>
  <si>
    <t>Vendor-quoted rate, not a statutory charge. Update to the certifying authority's invoice.</t>
  </si>
  <si>
    <t>Sub-total — DSC cost</t>
  </si>
  <si>
    <t>F.   PROFESSIONAL FEES</t>
  </si>
  <si>
    <t>Professional fee — incorporation, LLP agreement drafting and Form 3</t>
  </si>
  <si>
    <t>Input block</t>
  </si>
  <si>
    <t>Manual adjustment to professional fee (+ / −)</t>
  </si>
  <si>
    <t>Discounts, scope adders or a negotiated fee. The only professional-fee cell meant to be typed into.</t>
  </si>
  <si>
    <t>Sub-total — professional fees</t>
  </si>
  <si>
    <t>G.   GOODS AND SERVICES TAX</t>
  </si>
  <si>
    <t>SAC 998222</t>
  </si>
  <si>
    <t>Taxable value — professional fees, DSC and non-disbursement costs</t>
  </si>
  <si>
    <t>GST rate</t>
  </si>
  <si>
    <t>Intra-State: CGST 9% + SGST 9%.   Inter-State: IGST 18%.</t>
  </si>
  <si>
    <t>GST amount</t>
  </si>
  <si>
    <t>No GST is charged on Sections A to C. MCA fees and stamp duty recovered at actuals are excluded from the value of supply under Rule 33 of the CGST Rules, 2017, provided the pure-agent conditions are met, the recovery is at the exact amount, and the disbursement is separately indicated on the invoice. Rounding a statutory recovery up makes the whole line taxable.</t>
  </si>
  <si>
    <t>H.   TOTAL COST OF LLP INCORPORATION</t>
  </si>
  <si>
    <t>Statutory fees and stamp duty — pass-through (A + B + C, plus D if pure agent)</t>
  </si>
  <si>
    <t>Recovered at actuals as a pure agent; no GST added. Invoice from the challan, never from this estimate.</t>
  </si>
  <si>
    <t>Professional fees and DSC — taxable supply (E + F, plus D if not pure agent)</t>
  </si>
  <si>
    <t>CAA supply — GST applies.</t>
  </si>
  <si>
    <t>GST on the taxable supply (G)</t>
  </si>
  <si>
    <t>ESTIMATED TOTAL PAYABLE BY THE CLIENT</t>
  </si>
  <si>
    <t>Statutory items are estimates until the challan issues.</t>
  </si>
  <si>
    <t>MCA Statutory Fees — Limited Liability Partnership</t>
  </si>
  <si>
    <t>Rule 24 read with Annexure A to the Limited Liability Partnership Rules, 2009 (Table of Fees). Fee bands run on TOTAL CAPITAL CONTRIBUTION of all partners combined.</t>
  </si>
  <si>
    <t>Band lower bound (₹)</t>
  </si>
  <si>
    <t>Band description</t>
  </si>
  <si>
    <t>FiLLiP incorporation fee (₹)</t>
  </si>
  <si>
    <t>Form 3 filing fee (₹)</t>
  </si>
  <si>
    <t>Source and verification status</t>
  </si>
  <si>
    <t>Up to ₹1,00,000</t>
  </si>
  <si>
    <t>Secondary source, Aug 2026 — confirm once against the MCA fee calculator</t>
  </si>
  <si>
    <t>₹10,00,000 and above</t>
  </si>
  <si>
    <t>FIXED STATUTORY FEES</t>
  </si>
  <si>
    <t>Name reservation — RUN-LLP / FiLLiP Part A</t>
  </si>
  <si>
    <t>DPIN / DIN allotment — per designated partner without an existing DIN</t>
  </si>
  <si>
    <t>Confirm whether DPIN for the first two designated partners is absorbed in the FiLLiP fee. Applied only to the count entered on the calculator.</t>
  </si>
  <si>
    <t>Issued on incorporation. Confirm on the MCA payment screen.</t>
  </si>
  <si>
    <t>Blue cells on a yellow fill are the rate inputs — edit these when the MCA revises its fees. Band lower bounds must stay in ascending order or the calculator lookup will misread.</t>
  </si>
  <si>
    <t>Stamp Duty on the LLP Agreement — State and Union Territory Table</t>
  </si>
  <si>
    <t>Duty on the LLP agreement, computed at the total capital contribution entered on the Calculator tab. Basis codes: PERCENT = rate on contribution subject to a floor and a cap · FLAT = fixed amount · SLAB-KA = Karnataka step scale · VERIFY = the source gives no figure for this State.</t>
  </si>
  <si>
    <t>State / Union Territory</t>
  </si>
  <si>
    <t>Basis</t>
  </si>
  <si>
    <t>Rate or amount</t>
  </si>
  <si>
    <t>Minimum (₹)</t>
  </si>
  <si>
    <t>Maximum cap (₹)
0 = none</t>
  </si>
  <si>
    <t>Rule as stated in the source</t>
  </si>
  <si>
    <t>Verification status</t>
  </si>
  <si>
    <t>Duty at entered contribution (₹)</t>
  </si>
  <si>
    <t>Andaman and Nicobar Islands</t>
  </si>
  <si>
    <t>VERIFY</t>
  </si>
  <si>
    <t>Not separately stated in the source</t>
  </si>
  <si>
    <t>NO FIGURE in source — obtain the State rate before quoting</t>
  </si>
  <si>
    <t>Andhra Pradesh</t>
  </si>
  <si>
    <t>FLAT</t>
  </si>
  <si>
    <t>Flat ₹500 for any capital amount</t>
  </si>
  <si>
    <t>Secondary source — verify against the State schedule</t>
  </si>
  <si>
    <t>Arunachal Pradesh</t>
  </si>
  <si>
    <t>Grouped under "all other NE States and UTs" with no figure</t>
  </si>
  <si>
    <t>CONFLICT: CAA source table carried 1% with no cap. Resolve.</t>
  </si>
  <si>
    <t>Assam</t>
  </si>
  <si>
    <t>Flat ₹100 for any capital amount</t>
  </si>
  <si>
    <t>Bihar</t>
  </si>
  <si>
    <t>Flat ₹5,000 for any capital amount</t>
  </si>
  <si>
    <t>Chandigarh</t>
  </si>
  <si>
    <t>Grouped under "all other States and UTs" with no figure</t>
  </si>
  <si>
    <t>Chhattisgarh</t>
  </si>
  <si>
    <t>Dadra and Nagar Haveli and Daman and Diu</t>
  </si>
  <si>
    <t>PERCENT</t>
  </si>
  <si>
    <t>1% of capital contribution, minimum ₹200, maximum ₹5,000</t>
  </si>
  <si>
    <t>Earlier "₹200 vs 1%" conflict appears to be floor vs rate — confirm against the Delhi schedule</t>
  </si>
  <si>
    <t>Goa</t>
  </si>
  <si>
    <t>Flat ₹150 for any capital amount</t>
  </si>
  <si>
    <t>Gujarat</t>
  </si>
  <si>
    <t>1% of capital contribution, minimum ₹1,000, maximum ₹10,000</t>
  </si>
  <si>
    <t>Haryana</t>
  </si>
  <si>
    <t>Flat ₹1,000 for any capital amount</t>
  </si>
  <si>
    <t>Himachal Pradesh</t>
  </si>
  <si>
    <t>Jammu and Kashmir</t>
  </si>
  <si>
    <t>Jharkhand</t>
  </si>
  <si>
    <t>Karnataka</t>
  </si>
  <si>
    <t>SLAB-KA</t>
  </si>
  <si>
    <t>₹5,000 up to ₹10 lakh, then ₹5,000 plus ₹1,000 for every additional ₹5 lakh</t>
  </si>
  <si>
    <t>CONFLICT: CAA source table carried a flat ₹500. Resolve.</t>
  </si>
  <si>
    <t>Kerala</t>
  </si>
  <si>
    <t>Ladakh</t>
  </si>
  <si>
    <t>Lakshadweep</t>
  </si>
  <si>
    <t>Madhya Pradesh</t>
  </si>
  <si>
    <t>2% of capital contribution, minimum ₹2,000, maximum ₹10,000</t>
  </si>
  <si>
    <t>Maharashtra</t>
  </si>
  <si>
    <t>1% of capital contribution, minimum ₹500, maximum ₹15,000</t>
  </si>
  <si>
    <t>Manipur</t>
  </si>
  <si>
    <t>Meghalaya</t>
  </si>
  <si>
    <t>Mizoram</t>
  </si>
  <si>
    <t>Nagaland</t>
  </si>
  <si>
    <t>Odisha</t>
  </si>
  <si>
    <t>Puducherry</t>
  </si>
  <si>
    <t>Punjab</t>
  </si>
  <si>
    <t>Rajasthan</t>
  </si>
  <si>
    <t>Approximately 0.5% to 1% on capital slabs, minimum ₹2,000, maximum ₹10,000</t>
  </si>
  <si>
    <t>AMBIGUOUS: source gives a 0.5%–1% range. Table applies the higher 1%. Resolve.</t>
  </si>
  <si>
    <t>Sikkim</t>
  </si>
  <si>
    <t>Tamil Nadu</t>
  </si>
  <si>
    <t>Flat ₹300 for any capital amount</t>
  </si>
  <si>
    <t>Telangana</t>
  </si>
  <si>
    <t>₹100 to ₹300 depending on local notary and slabs</t>
  </si>
  <si>
    <t>AMBIGUOUS: source gives a ₹100–₹300 range. Table applies the higher ₹300. Resolve.</t>
  </si>
  <si>
    <t>Tripura</t>
  </si>
  <si>
    <t>Uttar Pradesh</t>
  </si>
  <si>
    <t>Flat ₹750 for any capital amount</t>
  </si>
  <si>
    <t>Uttarakhand</t>
  </si>
  <si>
    <t>West Bengal</t>
  </si>
  <si>
    <t>Source: the 'Stamp Duty Source' tab of this workbook, reproducing the State-wise LLP agreement stamp duty summary supplied with the original CAA calculator. Every row is secondary-sourced and none has been checked against the relevant State Stamp Act. Rows marked in red must be resolved before the figure is put in front of a client.</t>
  </si>
  <si>
    <t>SOURCE OF RECORD — State-wise LLP agreement stamp duty, as supplied</t>
  </si>
  <si>
    <t>Reproduced unchanged from the 'Stamp duty' tab of the original CAA_LLP_Cost_Calculator file. The 'LLP Stamp Duty' tab is the machine-readable version of this table; where the two differ, this is the source and that is the interpretation.</t>
  </si>
  <si>
    <t>1. States with Percentage-Based Rates</t>
  </si>
  <si>
    <t>These states calculate stamp duty as a direct percentage of the total capital contribution you invest into the LLP. [1, 2]</t>
  </si>
  <si>
    <t>State / UT</t>
  </si>
  <si>
    <t>Stamp Duty Rate</t>
  </si>
  <si>
    <t>Minimum Payable</t>
  </si>
  <si>
    <t>Maximum Cap</t>
  </si>
  <si>
    <t>1% of capital contribution</t>
  </si>
  <si>
    <t>₹500</t>
  </si>
  <si>
    <t>₹15,000</t>
  </si>
  <si>
    <t>Delhi (NCT)</t>
  </si>
  <si>
    <t>₹200</t>
  </si>
  <si>
    <t>₹5,000</t>
  </si>
  <si>
    <t>₹1,000</t>
  </si>
  <si>
    <t>₹10,000</t>
  </si>
  <si>
    <t>2% of capital contribution</t>
  </si>
  <si>
    <t>₹2,000</t>
  </si>
  <si>
    <t>~0.5% - 1% based on capital slabs</t>
  </si>
  <si>
    <t>2. States with Slab-Based &amp; Flat High Rates</t>
  </si>
  <si>
    <t>These states charge either a fixed amount depending on your investment bracket or a static high flat fee. [1, 2]</t>
  </si>
  <si>
    <t>Capital Contribution Slab</t>
  </si>
  <si>
    <t>Total Stamp Duty Payable</t>
  </si>
  <si>
    <t>• Up to ₹10 Lakhs capital</t>
  </si>
  <si>
    <t>• Above ₹10 Lakhs capital</t>
  </si>
  <si>
    <t>₹5,000 + ₹1,000 per every additional ₹5 Lakhs</t>
  </si>
  <si>
    <t>Any capital amount</t>
  </si>
  <si>
    <t>₹5,000 flat fee</t>
  </si>
  <si>
    <t>₹1,000 flat fee</t>
  </si>
  <si>
    <t>₹750 flat fee</t>
  </si>
  <si>
    <t>₹500 flat fee</t>
  </si>
  <si>
    <t>3. States with Low Nominal / Flat Rates</t>
  </si>
  <si>
    <t>The remaining states and territories levy a standard flat charge regardless of how much capital is introduced. [1]</t>
  </si>
  <si>
    <t>₹300 flat fee</t>
  </si>
  <si>
    <t>₹100 to ₹300 (depending on local notary/slabs)</t>
  </si>
  <si>
    <t>₹150 flat fee</t>
  </si>
  <si>
    <t>₹100 flat fee</t>
  </si>
  <si>
    <t>Jammu &amp; Kashmir</t>
  </si>
  <si>
    <t>All Other NE States &amp; UTs (Meghalaya, Mizoram, Tripura, Manipur, Nagaland, Arunachal Pradesh, Sikkim, Chandigarh, Puducherry, etc.)</t>
  </si>
  <si>
    <t>Open Items and Verification Checklist</t>
  </si>
  <si>
    <t>Carried forward from the source calculator and extended. None of these is cleared. Work through them before the workbook is used to quote a client.</t>
  </si>
  <si>
    <t>Item</t>
  </si>
  <si>
    <t>Status</t>
  </si>
  <si>
    <t>What has to be done</t>
  </si>
  <si>
    <t>Two pricing blocks in the source file disagree</t>
  </si>
  <si>
    <t>CONFLICT</t>
  </si>
  <si>
    <t>The original tab carried a formula-driven block (total ₹20,465) and a hardcoded block (total ₹19,261). They differ on the FiLLiP fee, professional fee, franking and DSC, and the hardcoded block omitted Form 3 and had not followed the capital input. This calculator rebuilds the formula-driven block. Confirm that is the intended price.</t>
  </si>
  <si>
    <t>Professional fee — ₹3,499 or ₹3,950</t>
  </si>
  <si>
    <t>Set the intended figure at C12 on the Calculator. A capital-based fee card can be built if a scale exists.</t>
  </si>
  <si>
    <t>Franking / notary — ₹1,799 or ₹1,950</t>
  </si>
  <si>
    <t>Set the intended figure at C33 on the Calculator.</t>
  </si>
  <si>
    <t>Karnataka stamp duty</t>
  </si>
  <si>
    <t>The source state table carried a flat ₹500. The 'Stamp duty' tab gives ₹5,000 up to ₹10 lakh, then ₹1,000 for every further ₹5 lakh. The calculator applies the latter. Resolve against the Karnataka schedule.</t>
  </si>
  <si>
    <t>Arunachal Pradesh stamp duty</t>
  </si>
  <si>
    <t>The source state table carried 1% with no cap, described as taken from CAA's own calculator and unverified. The 'Stamp duty' tab gives no figure. The calculator returns "verify". Obtain the rate.</t>
  </si>
  <si>
    <t>Delhi stamp duty</t>
  </si>
  <si>
    <t>LIKELY RESOLVED</t>
  </si>
  <si>
    <t>The earlier "1% capped ₹5,000 vs approximately ₹200" conflict appears to be a floor-versus-rate confusion: the tab gives 1% with a ₹200 minimum and a ₹5,000 cap, which accommodates both figures. The calculator now applies a minimum as well as a cap. Confirm against the Delhi schedule.</t>
  </si>
  <si>
    <t>Rajasthan and Telangana rates</t>
  </si>
  <si>
    <t>AMBIGUOUS</t>
  </si>
  <si>
    <t>The source gives ranges (0.5%–1% and ₹100–₹300). The table applies the higher end in each case, which over-states rather than under-states. Resolve.</t>
  </si>
  <si>
    <t>Thirteen States and UTs carry no figure</t>
  </si>
  <si>
    <t>NO DATA</t>
  </si>
  <si>
    <t>The source groups the north-eastern States and several UTs together without an amount. Those rows are coded VERIFY and the calculator returns "verify" rather than a number. Populate them as rates are confirmed.</t>
  </si>
  <si>
    <t>MCA fee bands</t>
  </si>
  <si>
    <t>UNVERIFIED</t>
  </si>
  <si>
    <t>Secondary-sourced, August 2026. Confirm once against the MCA fee calculator, then update the status column on the MCA Fees LLP tab.</t>
  </si>
  <si>
    <t>DPIN / DIN</t>
  </si>
  <si>
    <t>OPEN</t>
  </si>
  <si>
    <t>Confirm whether DPIN for the first two designated partners is absorbed in the FiLLiP fee or payable at ₹500 each. The calculator has a separate input (C9) defaulting to nil.</t>
  </si>
  <si>
    <t>PAN and TAN — ₹143</t>
  </si>
  <si>
    <t>Confirm the current charge on the MCA payment screen.</t>
  </si>
  <si>
    <t>Form 3 certification</t>
  </si>
  <si>
    <t>PRACTICE POINT</t>
  </si>
  <si>
    <t>Form 3 requires certification by a practising professional. Sign under Jatin Aggarwal &amp; Co., not under Company Avenue Advisory Private Limited.</t>
  </si>
  <si>
    <t>Pure-agent recovery</t>
  </si>
  <si>
    <t>Rule 33 of the CGST Rules, 2017 requires recovery at the exact amount. Rounding a statutory recovery up makes the whole line taxable. Invoice from the challan, not from this estimate.</t>
  </si>
  <si>
    <t>#</t>
  </si>
  <si>
    <t>Count / Nos.</t>
  </si>
  <si>
    <t>Amount (INR)</t>
  </si>
  <si>
    <t>Government Fees Reimbursement</t>
  </si>
  <si>
    <t>MCA Fee for LLP Incorporation</t>
  </si>
  <si>
    <t>PAN and TAN Fees</t>
  </si>
  <si>
    <t>MCA Fees for Name Approval</t>
  </si>
  <si>
    <t>LLP Deed Stamp Duty</t>
  </si>
  <si>
    <t>Sub-Total</t>
  </si>
  <si>
    <t>Professional Fees &amp; Other OPE</t>
  </si>
  <si>
    <t>Professional Fees (Including LLP Deed drafting)</t>
  </si>
  <si>
    <t>Franking, Notary, Courier etc</t>
  </si>
  <si>
    <t>Digital Signature Certificates (DSCs)</t>
  </si>
  <si>
    <t>GST @18%</t>
  </si>
  <si>
    <t>Total Amount</t>
  </si>
  <si>
    <t>₹1,00,001 to ₹500000</t>
  </si>
  <si>
    <t>₹5,00,001 to ₹1000000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</si>
</sst>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₹#,##0;&quot;(₹&quot;#,##0\);\-"/>
    <numFmt numFmtId="165" formatCode="0.0%"/>
  </numFmts>
  <fonts count="20" x14ac:knownFonts="1">
    <font>
      <sz val="11"/>
      <color theme="1"/>
      <name val="Calibri"/>
      <family val="2"/>
      <charset val="1"/>
    </font>
    <font>
      <sz val="10"/>
      <name val="Arial"/>
      <family val="2"/>
    </font>
    <font>
      <b/>
      <sz val="13"/>
      <color rgb="FFFFFFFF"/>
      <name val="Arial"/>
      <family val="2"/>
    </font>
    <font>
      <i/>
      <sz val="9"/>
      <color rgb="FFFFFFFF"/>
      <name val="Arial"/>
      <family val="2"/>
    </font>
    <font>
      <i/>
      <sz val="9"/>
      <color rgb="FF808080"/>
      <name val="Arial"/>
      <family val="2"/>
    </font>
    <font>
      <b/>
      <sz val="10"/>
      <color rgb="FFFFFFFF"/>
      <name val="Arial"/>
      <family val="2"/>
    </font>
    <font>
      <sz val="10"/>
      <name val="Arial"/>
      <family val="2"/>
    </font>
    <font>
      <b/>
      <sz val="10"/>
      <color rgb="FF0000FF"/>
      <name val="Arial"/>
      <family val="2"/>
    </font>
    <font>
      <i/>
      <sz val="8"/>
      <color rgb="FFA6A6A6"/>
      <name val="Arial"/>
      <family val="2"/>
    </font>
    <font>
      <sz val="9"/>
      <color rgb="FF808080"/>
      <name val="Arial"/>
      <family val="2"/>
    </font>
    <font>
      <b/>
      <sz val="10"/>
      <name val="Arial"/>
      <family val="2"/>
    </font>
    <font>
      <b/>
      <sz val="10"/>
      <color rgb="FF1F3864"/>
      <name val="Arial"/>
      <family val="2"/>
    </font>
    <font>
      <sz val="10"/>
      <color rgb="FF008000"/>
      <name val="Arial"/>
      <family val="2"/>
    </font>
    <font>
      <b/>
      <sz val="11"/>
      <color rgb="FFFFFFFF"/>
      <name val="Arial"/>
      <family val="2"/>
    </font>
    <font>
      <b/>
      <sz val="13"/>
      <color rgb="FF1F3864"/>
      <name val="Arial"/>
      <family val="2"/>
    </font>
    <font>
      <b/>
      <sz val="9"/>
      <color rgb="FF1F3864"/>
      <name val="Arial"/>
      <family val="2"/>
    </font>
    <font>
      <i/>
      <sz val="9"/>
      <color rgb="FFC00000"/>
      <name val="Arial"/>
      <family val="2"/>
    </font>
    <font>
      <b/>
      <sz val="11"/>
      <color rgb="FF1F3864"/>
      <name val="Arial"/>
      <family val="2"/>
    </font>
    <font>
      <b/>
      <sz val="9"/>
      <color rgb="FFC00000"/>
      <name val="Arial"/>
      <family val="2"/>
    </font>
    <font>
      <b/>
      <sz val="9"/>
      <color rgb="FFBF8F0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00"/>
        <bgColor rgb="FFFFFF00"/>
      </patternFill>
    </fill>
    <fill>
      <patternFill patternType="solid">
        <fgColor rgb="FFD9E2F3"/>
        <bgColor rgb="FFF2F2F2"/>
      </patternFill>
    </fill>
    <fill>
      <patternFill patternType="solid">
        <fgColor rgb="FFF2F2F2"/>
        <bgColor rgb="FFFFFFFF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rgb="FFBFBFBF"/>
      </bottom>
      <diagonal/>
    </border>
    <border>
      <left/>
      <right/>
      <top style="thin">
        <color rgb="FFBFBFBF"/>
      </top>
      <bottom style="thin">
        <color rgb="FF1F3864"/>
      </bottom>
      <diagonal/>
    </border>
    <border>
      <left/>
      <right/>
      <top style="double">
        <color rgb="FF1F3864"/>
      </top>
      <bottom style="double">
        <color rgb="FF1F38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top" wrapText="1"/>
    </xf>
    <xf numFmtId="0" fontId="3" fillId="3" borderId="0" xfId="0" applyFont="1" applyFill="1" applyAlignment="1">
      <alignment vertical="center"/>
    </xf>
    <xf numFmtId="0" fontId="2" fillId="2" borderId="0" xfId="0" applyFont="1" applyFill="1" applyAlignment="1">
      <alignment vertical="center"/>
    </xf>
    <xf numFmtId="0" fontId="4" fillId="0" borderId="0" xfId="0" applyFont="1" applyAlignment="1">
      <alignment vertical="center"/>
    </xf>
    <xf numFmtId="0" fontId="5" fillId="2" borderId="0" xfId="0" applyFont="1" applyFill="1" applyAlignment="1">
      <alignment vertical="center"/>
    </xf>
    <xf numFmtId="0" fontId="5" fillId="2" borderId="0" xfId="0" applyFont="1" applyFill="1" applyAlignment="1">
      <alignment horizontal="left" vertical="center"/>
    </xf>
    <xf numFmtId="0" fontId="6" fillId="0" borderId="1" xfId="0" applyFont="1" applyBorder="1" applyAlignment="1">
      <alignment vertical="center" wrapText="1"/>
    </xf>
    <xf numFmtId="3" fontId="7" fillId="4" borderId="1" xfId="0" applyNumberFormat="1" applyFont="1" applyFill="1" applyBorder="1" applyAlignment="1">
      <alignment horizontal="right" vertical="center"/>
    </xf>
    <xf numFmtId="0" fontId="0" fillId="0" borderId="1" xfId="0" applyBorder="1"/>
    <xf numFmtId="0" fontId="7" fillId="4" borderId="1" xfId="0" applyFont="1" applyFill="1" applyBorder="1" applyAlignment="1">
      <alignment horizontal="center" vertical="center" shrinkToFit="1"/>
    </xf>
    <xf numFmtId="0" fontId="4" fillId="0" borderId="0" xfId="0" applyFont="1" applyAlignment="1">
      <alignment vertical="center" wrapText="1"/>
    </xf>
    <xf numFmtId="164" fontId="7" fillId="4" borderId="1" xfId="0" applyNumberFormat="1" applyFont="1" applyFill="1" applyBorder="1" applyAlignment="1">
      <alignment horizontal="right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right" vertical="center"/>
    </xf>
    <xf numFmtId="164" fontId="6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horizontal="left" vertical="center"/>
    </xf>
    <xf numFmtId="0" fontId="10" fillId="5" borderId="2" xfId="0" applyFont="1" applyFill="1" applyBorder="1" applyAlignment="1">
      <alignment vertical="center" wrapText="1"/>
    </xf>
    <xf numFmtId="164" fontId="11" fillId="5" borderId="2" xfId="0" applyNumberFormat="1" applyFont="1" applyFill="1" applyBorder="1" applyAlignment="1">
      <alignment horizontal="right" vertical="center"/>
    </xf>
    <xf numFmtId="0" fontId="0" fillId="5" borderId="2" xfId="0" applyFill="1" applyBorder="1"/>
    <xf numFmtId="0" fontId="7" fillId="4" borderId="1" xfId="0" applyFont="1" applyFill="1" applyBorder="1" applyAlignment="1">
      <alignment horizontal="center" vertical="center"/>
    </xf>
    <xf numFmtId="3" fontId="6" fillId="0" borderId="1" xfId="0" applyNumberFormat="1" applyFont="1" applyBorder="1" applyAlignment="1">
      <alignment horizontal="right" vertical="center"/>
    </xf>
    <xf numFmtId="164" fontId="12" fillId="0" borderId="1" xfId="0" applyNumberFormat="1" applyFont="1" applyBorder="1" applyAlignment="1">
      <alignment horizontal="right" vertical="center"/>
    </xf>
    <xf numFmtId="165" fontId="7" fillId="4" borderId="1" xfId="0" applyNumberFormat="1" applyFont="1" applyFill="1" applyBorder="1" applyAlignment="1">
      <alignment horizontal="right" vertical="center"/>
    </xf>
    <xf numFmtId="0" fontId="13" fillId="2" borderId="3" xfId="0" applyFont="1" applyFill="1" applyBorder="1" applyAlignment="1">
      <alignment vertical="center"/>
    </xf>
    <xf numFmtId="164" fontId="13" fillId="2" borderId="3" xfId="0" applyNumberFormat="1" applyFont="1" applyFill="1" applyBorder="1" applyAlignment="1">
      <alignment horizontal="right" vertical="center"/>
    </xf>
    <xf numFmtId="0" fontId="13" fillId="2" borderId="3" xfId="0" applyFont="1" applyFill="1" applyBorder="1"/>
    <xf numFmtId="0" fontId="14" fillId="0" borderId="0" xfId="0" applyFont="1"/>
    <xf numFmtId="0" fontId="5" fillId="2" borderId="0" xfId="0" applyFont="1" applyFill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5" fillId="2" borderId="0" xfId="0" applyFont="1" applyFill="1"/>
    <xf numFmtId="0" fontId="10" fillId="6" borderId="1" xfId="0" applyFont="1" applyFill="1" applyBorder="1" applyAlignment="1">
      <alignment vertical="center" wrapText="1"/>
    </xf>
    <xf numFmtId="0" fontId="15" fillId="6" borderId="1" xfId="0" applyFont="1" applyFill="1" applyBorder="1" applyAlignment="1">
      <alignment horizontal="center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6" borderId="1" xfId="0" applyFont="1" applyFill="1" applyBorder="1" applyAlignment="1">
      <alignment vertical="center" wrapText="1"/>
    </xf>
    <xf numFmtId="0" fontId="16" fillId="6" borderId="1" xfId="0" applyFont="1" applyFill="1" applyBorder="1" applyAlignment="1">
      <alignment vertical="center" wrapText="1"/>
    </xf>
    <xf numFmtId="164" fontId="11" fillId="6" borderId="1" xfId="0" applyNumberFormat="1" applyFont="1" applyFill="1" applyBorder="1" applyAlignment="1">
      <alignment horizontal="right" vertical="center"/>
    </xf>
    <xf numFmtId="0" fontId="10" fillId="0" borderId="1" xfId="0" applyFont="1" applyBorder="1" applyAlignment="1">
      <alignment vertical="center" wrapText="1"/>
    </xf>
    <xf numFmtId="0" fontId="15" fillId="0" borderId="1" xfId="0" applyFont="1" applyBorder="1" applyAlignment="1">
      <alignment horizontal="center" vertical="center"/>
    </xf>
    <xf numFmtId="164" fontId="7" fillId="0" borderId="1" xfId="0" applyNumberFormat="1" applyFont="1" applyBorder="1" applyAlignment="1">
      <alignment horizontal="right" vertical="center"/>
    </xf>
    <xf numFmtId="0" fontId="9" fillId="0" borderId="1" xfId="0" applyFont="1" applyBorder="1" applyAlignment="1">
      <alignment vertical="center" wrapText="1"/>
    </xf>
    <xf numFmtId="164" fontId="11" fillId="0" borderId="1" xfId="0" applyNumberFormat="1" applyFont="1" applyBorder="1" applyAlignment="1">
      <alignment horizontal="right" vertical="center"/>
    </xf>
    <xf numFmtId="0" fontId="4" fillId="6" borderId="1" xfId="0" applyFont="1" applyFill="1" applyBorder="1" applyAlignment="1">
      <alignment vertical="center" wrapText="1"/>
    </xf>
    <xf numFmtId="0" fontId="16" fillId="0" borderId="1" xfId="0" applyFont="1" applyBorder="1" applyAlignment="1">
      <alignment vertical="center" wrapText="1"/>
    </xf>
    <xf numFmtId="10" fontId="7" fillId="6" borderId="1" xfId="0" applyNumberFormat="1" applyFont="1" applyFill="1" applyBorder="1" applyAlignment="1">
      <alignment horizontal="right" vertical="center"/>
    </xf>
    <xf numFmtId="10" fontId="7" fillId="0" borderId="1" xfId="0" applyNumberFormat="1" applyFont="1" applyBorder="1" applyAlignment="1">
      <alignment horizontal="right" vertical="center"/>
    </xf>
    <xf numFmtId="0" fontId="17" fillId="0" borderId="0" xfId="0" applyFont="1" applyAlignment="1">
      <alignment vertical="center" wrapText="1"/>
    </xf>
    <xf numFmtId="0" fontId="6" fillId="0" borderId="0" xfId="0" applyFont="1" applyAlignment="1">
      <alignment vertical="center" wrapText="1"/>
    </xf>
    <xf numFmtId="0" fontId="5" fillId="2" borderId="0" xfId="0" applyFont="1" applyFill="1" applyAlignment="1">
      <alignment vertical="center" wrapText="1"/>
    </xf>
    <xf numFmtId="0" fontId="5" fillId="2" borderId="0" xfId="0" applyFont="1" applyFill="1" applyAlignment="1">
      <alignment horizontal="center" vertical="center"/>
    </xf>
    <xf numFmtId="0" fontId="18" fillId="6" borderId="1" xfId="0" applyFont="1" applyFill="1" applyBorder="1" applyAlignment="1">
      <alignment horizontal="center" vertical="center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9" fillId="6" borderId="1" xfId="0" applyFont="1" applyFill="1" applyBorder="1" applyAlignment="1">
      <alignment horizontal="center" vertical="center"/>
    </xf>
    <xf numFmtId="164" fontId="0" fillId="0" borderId="0" xfId="0" applyNumberFormat="1"/>
    <xf numFmtId="3" fontId="0" fillId="0" borderId="0" xfId="0" applyNumberFormat="1"/>
    <xf numFmtId="164" fontId="6" fillId="7" borderId="1" xfId="0" applyNumberFormat="1" applyFont="1" applyFill="1" applyBorder="1" applyAlignment="1">
      <alignment horizontal="right" vertical="center"/>
    </xf>
    <xf numFmtId="0" fontId="0" fillId="7" borderId="0" xfId="0" applyFill="1"/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48235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BF8F00"/>
      <rgbColor rgb="FFFF6600"/>
      <rgbColor rgb="FF666699"/>
      <rgbColor rgb="FFA6A6A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  <pageSetUpPr fitToPage="1"/>
  </sheetPr>
  <dimension ref="B2:K61"/>
  <sheetViews>
    <sheetView showGridLines="0" tabSelected="1" zoomScaleNormal="100" workbookViewId="0">
      <selection activeCell="C1" sqref="C1"/>
    </sheetView>
  </sheetViews>
  <sheetFormatPr defaultColWidth="8.6640625" defaultRowHeight="14.4" x14ac:dyDescent="0.3"/>
  <cols>
    <col min="1" max="1" width="3" customWidth="1"/>
    <col min="2" max="2" width="56" customWidth="1"/>
    <col min="3" max="3" width="11.77734375" customWidth="1"/>
    <col min="4" max="4" width="19.109375" customWidth="1"/>
    <col min="5" max="5" width="54" customWidth="1"/>
    <col min="6" max="6" width="3" customWidth="1"/>
  </cols>
  <sheetData>
    <row r="2" spans="2:11" ht="25.5" customHeight="1" x14ac:dyDescent="0.3">
      <c r="B2" s="4" t="s">
        <v>0</v>
      </c>
      <c r="C2" s="4"/>
      <c r="D2" s="4"/>
      <c r="E2" s="4"/>
    </row>
    <row r="3" spans="2:11" ht="15.75" customHeight="1" x14ac:dyDescent="0.3">
      <c r="B3" s="3" t="s">
        <v>1</v>
      </c>
      <c r="C3" s="3"/>
      <c r="D3" s="3"/>
      <c r="E3" s="3"/>
    </row>
    <row r="4" spans="2:11" ht="18" customHeight="1" x14ac:dyDescent="0.3">
      <c r="B4" s="5" t="s">
        <v>2</v>
      </c>
    </row>
    <row r="5" spans="2:11" ht="19.5" customHeight="1" x14ac:dyDescent="0.3">
      <c r="B5" s="6" t="s">
        <v>3</v>
      </c>
      <c r="C5" s="6"/>
      <c r="D5" s="7" t="s">
        <v>4</v>
      </c>
      <c r="E5" s="6"/>
    </row>
    <row r="6" spans="2:11" ht="15" customHeight="1" x14ac:dyDescent="0.3">
      <c r="B6" s="8" t="s">
        <v>5</v>
      </c>
      <c r="C6" s="9">
        <v>500000</v>
      </c>
      <c r="D6" s="10"/>
    </row>
    <row r="7" spans="2:11" ht="15" customHeight="1" x14ac:dyDescent="0.3">
      <c r="B7" s="8" t="s">
        <v>6</v>
      </c>
      <c r="C7" s="11" t="s">
        <v>7</v>
      </c>
      <c r="D7" s="10"/>
      <c r="H7" t="s">
        <v>245</v>
      </c>
      <c r="I7" t="s">
        <v>209</v>
      </c>
      <c r="J7" t="s">
        <v>246</v>
      </c>
      <c r="K7" t="s">
        <v>247</v>
      </c>
    </row>
    <row r="8" spans="2:11" ht="15" customHeight="1" x14ac:dyDescent="0.3">
      <c r="B8" s="8" t="s">
        <v>8</v>
      </c>
      <c r="C8" s="9">
        <v>2</v>
      </c>
      <c r="D8" s="10"/>
      <c r="E8" s="12" t="s">
        <v>9</v>
      </c>
      <c r="H8" t="s">
        <v>248</v>
      </c>
    </row>
    <row r="9" spans="2:11" ht="31.5" customHeight="1" x14ac:dyDescent="0.3">
      <c r="B9" s="8" t="s">
        <v>10</v>
      </c>
      <c r="C9" s="9">
        <v>0</v>
      </c>
      <c r="D9" s="10"/>
      <c r="E9" s="12" t="s">
        <v>11</v>
      </c>
      <c r="H9">
        <v>1</v>
      </c>
      <c r="I9" t="s">
        <v>249</v>
      </c>
      <c r="K9">
        <v>2000</v>
      </c>
    </row>
    <row r="10" spans="2:11" ht="15" customHeight="1" x14ac:dyDescent="0.3">
      <c r="B10" s="8" t="s">
        <v>12</v>
      </c>
      <c r="C10" s="11" t="s">
        <v>13</v>
      </c>
      <c r="D10" s="10"/>
      <c r="H10">
        <v>2</v>
      </c>
      <c r="I10" t="s">
        <v>250</v>
      </c>
      <c r="K10" s="58">
        <v>143</v>
      </c>
    </row>
    <row r="11" spans="2:11" ht="15" customHeight="1" x14ac:dyDescent="0.3">
      <c r="B11" s="8" t="s">
        <v>14</v>
      </c>
      <c r="C11" s="9">
        <v>2</v>
      </c>
      <c r="D11" s="10"/>
      <c r="H11">
        <v>3</v>
      </c>
      <c r="I11" t="s">
        <v>251</v>
      </c>
      <c r="K11" s="58">
        <v>200</v>
      </c>
    </row>
    <row r="12" spans="2:11" ht="31.5" customHeight="1" x14ac:dyDescent="0.3">
      <c r="B12" s="8" t="s">
        <v>15</v>
      </c>
      <c r="C12" s="13">
        <v>3499</v>
      </c>
      <c r="D12" s="10"/>
      <c r="E12" s="12" t="s">
        <v>16</v>
      </c>
      <c r="H12">
        <v>4</v>
      </c>
      <c r="I12" t="s">
        <v>252</v>
      </c>
      <c r="K12" s="58">
        <v>5000</v>
      </c>
    </row>
    <row r="13" spans="2:11" ht="12.75" customHeight="1" x14ac:dyDescent="0.3">
      <c r="B13" s="14" t="s">
        <v>17</v>
      </c>
      <c r="C13" s="15">
        <f>MATCH($C$6,'MCA Fees LLP'!$B$6:$B$9,1)</f>
        <v>2</v>
      </c>
      <c r="D13" s="10"/>
      <c r="J13" t="s">
        <v>253</v>
      </c>
      <c r="K13" s="56">
        <v>7343</v>
      </c>
    </row>
    <row r="14" spans="2:11" ht="12.75" customHeight="1" x14ac:dyDescent="0.3">
      <c r="B14" s="14" t="s">
        <v>18</v>
      </c>
      <c r="C14" s="15">
        <f>MATCH($C$7,LLPStateList,0)</f>
        <v>9</v>
      </c>
      <c r="D14" s="10"/>
      <c r="H14" t="s">
        <v>254</v>
      </c>
    </row>
    <row r="15" spans="2:11" x14ac:dyDescent="0.3">
      <c r="H15">
        <v>1</v>
      </c>
      <c r="I15" t="s">
        <v>255</v>
      </c>
      <c r="J15">
        <v>2</v>
      </c>
      <c r="K15" s="56">
        <v>3950</v>
      </c>
    </row>
    <row r="16" spans="2:11" ht="19.5" customHeight="1" x14ac:dyDescent="0.3">
      <c r="B16" s="6" t="s">
        <v>19</v>
      </c>
      <c r="C16" s="6"/>
      <c r="D16" s="7" t="s">
        <v>20</v>
      </c>
      <c r="E16" s="6"/>
      <c r="H16">
        <v>2</v>
      </c>
      <c r="I16" t="s">
        <v>256</v>
      </c>
      <c r="K16">
        <v>1950</v>
      </c>
    </row>
    <row r="17" spans="2:11" ht="15" customHeight="1" x14ac:dyDescent="0.3">
      <c r="B17" s="8" t="s">
        <v>21</v>
      </c>
      <c r="C17" s="57">
        <f>IF($C$10="Yes",'MCA Fees LLP'!$D$12,0)</f>
        <v>200</v>
      </c>
      <c r="D17" s="17" t="s">
        <v>22</v>
      </c>
      <c r="E17" s="12" t="s">
        <v>23</v>
      </c>
      <c r="H17">
        <v>3</v>
      </c>
      <c r="I17" t="s">
        <v>257</v>
      </c>
      <c r="J17">
        <v>2</v>
      </c>
      <c r="K17" s="56">
        <v>4200</v>
      </c>
    </row>
    <row r="18" spans="2:11" ht="15" customHeight="1" x14ac:dyDescent="0.3">
      <c r="B18" s="8" t="s">
        <v>24</v>
      </c>
      <c r="C18" s="16">
        <f>INDEX('MCA Fees LLP'!$D$6:$D$9,$C$13)</f>
        <v>2000</v>
      </c>
      <c r="D18" s="17" t="str">
        <f>INDEX('MCA Fees LLP'!$C$6:$C$9,$C$13)</f>
        <v>₹1,00,001 to ₹500000</v>
      </c>
      <c r="E18" s="12" t="s">
        <v>25</v>
      </c>
      <c r="J18" t="s">
        <v>253</v>
      </c>
      <c r="K18" s="56">
        <v>10100</v>
      </c>
    </row>
    <row r="19" spans="2:11" ht="31.5" customHeight="1" x14ac:dyDescent="0.3">
      <c r="B19" s="8" t="s">
        <v>26</v>
      </c>
      <c r="C19" s="16">
        <f>INDEX('MCA Fees LLP'!$E$6:$E$9,$C$13)</f>
        <v>100</v>
      </c>
      <c r="D19" s="17" t="str">
        <f>INDEX('MCA Fees LLP'!$C$6:$C$9,$C$13)</f>
        <v>₹1,00,001 to ₹500000</v>
      </c>
      <c r="E19" s="12" t="s">
        <v>27</v>
      </c>
      <c r="J19" t="s">
        <v>258</v>
      </c>
      <c r="K19" s="56">
        <v>1818</v>
      </c>
    </row>
    <row r="20" spans="2:11" ht="15" customHeight="1" x14ac:dyDescent="0.3">
      <c r="B20" s="8" t="s">
        <v>28</v>
      </c>
      <c r="C20" s="16">
        <f>$C$9*'MCA Fees LLP'!$D$13</f>
        <v>0</v>
      </c>
      <c r="D20" s="17" t="s">
        <v>29</v>
      </c>
      <c r="E20" s="12" t="s">
        <v>30</v>
      </c>
      <c r="J20" t="s">
        <v>259</v>
      </c>
      <c r="K20" s="56">
        <v>19261</v>
      </c>
    </row>
    <row r="21" spans="2:11" ht="15" customHeight="1" x14ac:dyDescent="0.3">
      <c r="B21" s="18" t="s">
        <v>31</v>
      </c>
      <c r="C21" s="19">
        <f>SUM(C17:C20)</f>
        <v>2300</v>
      </c>
      <c r="D21" s="20"/>
    </row>
    <row r="23" spans="2:11" ht="19.5" customHeight="1" x14ac:dyDescent="0.3">
      <c r="B23" s="6" t="s">
        <v>32</v>
      </c>
      <c r="C23" s="6"/>
      <c r="D23" s="7" t="s">
        <v>33</v>
      </c>
      <c r="E23" s="6"/>
    </row>
    <row r="24" spans="2:11" ht="25.5" customHeight="1" x14ac:dyDescent="0.3">
      <c r="B24" s="8" t="s">
        <v>34</v>
      </c>
      <c r="C24" s="57">
        <f>IFERROR(INDEX('LLP Stamp Duty'!$I$6:$I$41,$C$14),"verify")</f>
        <v>5000</v>
      </c>
      <c r="D24" s="17" t="str">
        <f>$C$7</f>
        <v>Delhi</v>
      </c>
      <c r="E24" s="12" t="str">
        <f>IFERROR(INDEX('LLP Stamp Duty'!$G$6:$G$41,$C$14),"State not found in the table")</f>
        <v>1% of capital contribution, minimum ₹200, maximum ₹5,000</v>
      </c>
    </row>
    <row r="25" spans="2:11" ht="15" customHeight="1" x14ac:dyDescent="0.3">
      <c r="B25" s="18" t="s">
        <v>35</v>
      </c>
      <c r="C25" s="19">
        <f>IF(ISNUMBER(C24),C24,"verify")</f>
        <v>5000</v>
      </c>
      <c r="D25" s="20"/>
    </row>
    <row r="26" spans="2:11" ht="30" customHeight="1" x14ac:dyDescent="0.3">
      <c r="B26" s="2" t="s">
        <v>36</v>
      </c>
      <c r="C26" s="2"/>
      <c r="D26" s="2"/>
      <c r="E26" s="2"/>
    </row>
    <row r="28" spans="2:11" ht="19.5" customHeight="1" x14ac:dyDescent="0.3">
      <c r="B28" s="6" t="s">
        <v>37</v>
      </c>
      <c r="C28" s="6"/>
      <c r="D28" s="6"/>
      <c r="E28" s="6"/>
    </row>
    <row r="29" spans="2:11" ht="25.5" customHeight="1" x14ac:dyDescent="0.3">
      <c r="B29" s="8" t="s">
        <v>38</v>
      </c>
      <c r="C29" s="57">
        <f>'MCA Fees LLP'!$D$14</f>
        <v>143</v>
      </c>
      <c r="D29" s="17" t="s">
        <v>39</v>
      </c>
      <c r="E29" s="12" t="s">
        <v>40</v>
      </c>
    </row>
    <row r="30" spans="2:11" ht="15" customHeight="1" x14ac:dyDescent="0.3">
      <c r="B30" s="18" t="s">
        <v>41</v>
      </c>
      <c r="C30" s="19">
        <f>C29</f>
        <v>143</v>
      </c>
      <c r="D30" s="20"/>
    </row>
    <row r="32" spans="2:11" ht="19.5" customHeight="1" x14ac:dyDescent="0.3">
      <c r="B32" s="6" t="s">
        <v>42</v>
      </c>
      <c r="C32" s="6"/>
      <c r="D32" s="7" t="s">
        <v>43</v>
      </c>
      <c r="E32" s="6"/>
    </row>
    <row r="33" spans="2:5" ht="37.5" customHeight="1" x14ac:dyDescent="0.3">
      <c r="B33" s="8" t="s">
        <v>44</v>
      </c>
      <c r="C33" s="13">
        <v>1799</v>
      </c>
      <c r="D33" s="10"/>
      <c r="E33" s="12" t="s">
        <v>45</v>
      </c>
    </row>
    <row r="34" spans="2:5" ht="15" customHeight="1" x14ac:dyDescent="0.3">
      <c r="B34" s="8" t="s">
        <v>46</v>
      </c>
      <c r="C34" s="13">
        <v>0</v>
      </c>
      <c r="D34" s="10"/>
      <c r="E34" s="12" t="s">
        <v>47</v>
      </c>
    </row>
    <row r="35" spans="2:5" ht="15" customHeight="1" x14ac:dyDescent="0.3">
      <c r="B35" s="18" t="s">
        <v>48</v>
      </c>
      <c r="C35" s="19">
        <f>SUM(C33:C34)</f>
        <v>1799</v>
      </c>
      <c r="D35" s="20"/>
    </row>
    <row r="36" spans="2:5" ht="39.75" customHeight="1" x14ac:dyDescent="0.3">
      <c r="B36" s="8" t="s">
        <v>49</v>
      </c>
      <c r="C36" s="21" t="s">
        <v>50</v>
      </c>
      <c r="D36" s="10"/>
      <c r="E36" s="12" t="s">
        <v>51</v>
      </c>
    </row>
    <row r="38" spans="2:5" ht="19.5" customHeight="1" x14ac:dyDescent="0.3">
      <c r="B38" s="6" t="s">
        <v>52</v>
      </c>
      <c r="C38" s="6"/>
      <c r="D38" s="6"/>
      <c r="E38" s="6"/>
    </row>
    <row r="39" spans="2:5" ht="15" customHeight="1" x14ac:dyDescent="0.3">
      <c r="B39" s="8" t="s">
        <v>53</v>
      </c>
      <c r="C39" s="22">
        <f>$C$11</f>
        <v>2</v>
      </c>
      <c r="D39" s="10"/>
    </row>
    <row r="40" spans="2:5" ht="25.5" customHeight="1" x14ac:dyDescent="0.3">
      <c r="B40" s="8" t="s">
        <v>54</v>
      </c>
      <c r="C40" s="13">
        <v>2000</v>
      </c>
      <c r="D40" s="10"/>
      <c r="E40" s="12" t="s">
        <v>55</v>
      </c>
    </row>
    <row r="41" spans="2:5" ht="15" customHeight="1" x14ac:dyDescent="0.3">
      <c r="B41" s="18" t="s">
        <v>56</v>
      </c>
      <c r="C41" s="19">
        <f>$C$39*$C$40</f>
        <v>4000</v>
      </c>
      <c r="D41" s="20"/>
    </row>
    <row r="43" spans="2:5" ht="19.5" customHeight="1" x14ac:dyDescent="0.3">
      <c r="B43" s="6" t="s">
        <v>57</v>
      </c>
      <c r="C43" s="6"/>
      <c r="D43" s="6"/>
      <c r="E43" s="6"/>
    </row>
    <row r="44" spans="2:5" ht="23.25" customHeight="1" x14ac:dyDescent="0.3">
      <c r="B44" s="8" t="s">
        <v>58</v>
      </c>
      <c r="C44" s="23">
        <f>$C$12</f>
        <v>3499</v>
      </c>
      <c r="D44" s="17" t="s">
        <v>59</v>
      </c>
    </row>
    <row r="45" spans="2:5" ht="27.75" customHeight="1" x14ac:dyDescent="0.3">
      <c r="B45" s="8" t="s">
        <v>60</v>
      </c>
      <c r="C45" s="13">
        <v>0</v>
      </c>
      <c r="D45" s="10"/>
      <c r="E45" s="12" t="s">
        <v>61</v>
      </c>
    </row>
    <row r="46" spans="2:5" ht="15" customHeight="1" x14ac:dyDescent="0.3">
      <c r="B46" s="18" t="s">
        <v>62</v>
      </c>
      <c r="C46" s="19">
        <f>IF(AND(ISNUMBER($C$44),ISNUMBER($C$45)),$C$44+$C$45,"verify")</f>
        <v>3499</v>
      </c>
      <c r="D46" s="20"/>
    </row>
    <row r="48" spans="2:5" ht="19.5" customHeight="1" x14ac:dyDescent="0.3">
      <c r="B48" s="6" t="s">
        <v>63</v>
      </c>
      <c r="C48" s="6"/>
      <c r="D48" s="7" t="s">
        <v>64</v>
      </c>
      <c r="E48" s="6"/>
    </row>
    <row r="49" spans="2:5" ht="25.5" customHeight="1" x14ac:dyDescent="0.3">
      <c r="B49" s="8" t="s">
        <v>65</v>
      </c>
      <c r="C49" s="16">
        <f>IF(AND(ISNUMBER($C$41),ISNUMBER($C$46)),$C$41+$C$46+IF($C$36="Yes",0,$C$35),"verify")</f>
        <v>9298</v>
      </c>
      <c r="D49" s="10"/>
    </row>
    <row r="50" spans="2:5" ht="15" customHeight="1" x14ac:dyDescent="0.3">
      <c r="B50" s="8" t="s">
        <v>66</v>
      </c>
      <c r="C50" s="24">
        <v>0.18</v>
      </c>
      <c r="D50" s="10"/>
      <c r="E50" s="12" t="s">
        <v>67</v>
      </c>
    </row>
    <row r="51" spans="2:5" ht="15" customHeight="1" x14ac:dyDescent="0.3">
      <c r="B51" s="18" t="s">
        <v>68</v>
      </c>
      <c r="C51" s="19">
        <f>IF(ISNUMBER($C$49),ROUND($C$49*$C$50,0),"verify")</f>
        <v>1674</v>
      </c>
      <c r="D51" s="20"/>
    </row>
    <row r="52" spans="2:5" ht="31.5" customHeight="1" x14ac:dyDescent="0.3">
      <c r="B52" s="2" t="s">
        <v>69</v>
      </c>
      <c r="C52" s="2"/>
      <c r="D52" s="2"/>
      <c r="E52" s="2"/>
    </row>
    <row r="54" spans="2:5" ht="19.5" customHeight="1" x14ac:dyDescent="0.3">
      <c r="B54" s="6" t="s">
        <v>70</v>
      </c>
      <c r="C54" s="6"/>
      <c r="D54" s="6"/>
      <c r="E54" s="6"/>
    </row>
    <row r="55" spans="2:5" ht="30" customHeight="1" x14ac:dyDescent="0.3">
      <c r="B55" s="8" t="s">
        <v>71</v>
      </c>
      <c r="C55" s="16">
        <f>IF(ISNUMBER($C$25),$C$21+$C$25+$C$30+IF($C$36="Yes",$C$35,0),"verify")</f>
        <v>7443</v>
      </c>
      <c r="D55" s="10"/>
      <c r="E55" s="12" t="s">
        <v>72</v>
      </c>
    </row>
    <row r="56" spans="2:5" ht="25.5" customHeight="1" x14ac:dyDescent="0.3">
      <c r="B56" s="8" t="s">
        <v>73</v>
      </c>
      <c r="C56" s="16">
        <f>IF(ISNUMBER($C$49),$C$49,"verify")</f>
        <v>9298</v>
      </c>
      <c r="D56" s="10"/>
      <c r="E56" s="12" t="s">
        <v>74</v>
      </c>
    </row>
    <row r="57" spans="2:5" ht="15" customHeight="1" thickBot="1" x14ac:dyDescent="0.35">
      <c r="B57" s="8" t="s">
        <v>75</v>
      </c>
      <c r="C57" s="16">
        <f>IF(ISNUMBER($C$51),$C$51,"verify")</f>
        <v>1674</v>
      </c>
      <c r="D57" s="10"/>
    </row>
    <row r="58" spans="2:5" ht="24" customHeight="1" thickTop="1" thickBot="1" x14ac:dyDescent="0.35">
      <c r="B58" s="25" t="s">
        <v>76</v>
      </c>
      <c r="C58" s="26">
        <f>IF(AND(ISNUMBER($C$55),ISNUMBER($C$56),ISNUMBER($C$57)),$C$55+$C$56+$C$57,"verify")</f>
        <v>18415</v>
      </c>
      <c r="D58" s="27"/>
      <c r="E58" s="27"/>
    </row>
    <row r="59" spans="2:5" ht="15.75" customHeight="1" thickTop="1" x14ac:dyDescent="0.3">
      <c r="B59" s="2" t="s">
        <v>77</v>
      </c>
      <c r="C59" s="2"/>
      <c r="D59" s="2"/>
      <c r="E59" s="2"/>
    </row>
    <row r="61" spans="2:5" x14ac:dyDescent="0.3">
      <c r="C61" s="55"/>
    </row>
  </sheetData>
  <mergeCells count="5">
    <mergeCell ref="B2:E2"/>
    <mergeCell ref="B3:E3"/>
    <mergeCell ref="B26:E26"/>
    <mergeCell ref="B52:E52"/>
    <mergeCell ref="B59:E59"/>
  </mergeCells>
  <dataValidations count="2">
    <dataValidation type="list" sqref="C7" xr:uid="{00000000-0002-0000-0000-000000000000}">
      <formula1>LLPStateList</formula1>
      <formula2>0</formula2>
    </dataValidation>
    <dataValidation type="list" sqref="C10 C36" xr:uid="{00000000-0002-0000-0000-000001000000}">
      <formula1>"No,Yes"</formula1>
      <formula2>0</formula2>
    </dataValidation>
  </dataValidations>
  <pageMargins left="0.75" right="0.75" top="1" bottom="1" header="0.511811023622047" footer="0.51180555555555596"/>
  <pageSetup paperSize="9" orientation="portrait" horizontalDpi="300" verticalDpi="300"/>
  <headerFooter>
    <oddFooter>&amp;L&amp;8 Company Avenue Advisory Private Limited&amp;R&amp;8 Page &amp;P of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548235"/>
    <pageSetUpPr fitToPage="1"/>
  </sheetPr>
  <dimension ref="B2:F16"/>
  <sheetViews>
    <sheetView showGridLines="0" topLeftCell="A4" zoomScaleNormal="100" workbookViewId="0">
      <selection activeCell="B24" sqref="B24"/>
    </sheetView>
  </sheetViews>
  <sheetFormatPr defaultColWidth="8.6640625" defaultRowHeight="14.4" x14ac:dyDescent="0.3"/>
  <cols>
    <col min="1" max="1" width="3" customWidth="1"/>
    <col min="2" max="2" width="46" customWidth="1"/>
    <col min="3" max="3" width="30" customWidth="1"/>
    <col min="4" max="4" width="22" customWidth="1"/>
    <col min="5" max="5" width="20" customWidth="1"/>
    <col min="6" max="6" width="56" customWidth="1"/>
  </cols>
  <sheetData>
    <row r="2" spans="2:6" ht="15.75" customHeight="1" x14ac:dyDescent="0.3">
      <c r="B2" s="28" t="s">
        <v>78</v>
      </c>
    </row>
    <row r="3" spans="2:6" ht="25.5" customHeight="1" x14ac:dyDescent="0.3">
      <c r="B3" s="1" t="s">
        <v>79</v>
      </c>
      <c r="C3" s="1"/>
      <c r="D3" s="1"/>
      <c r="E3" s="1"/>
      <c r="F3" s="1"/>
    </row>
    <row r="5" spans="2:6" ht="31.5" customHeight="1" x14ac:dyDescent="0.3">
      <c r="B5" s="29" t="s">
        <v>80</v>
      </c>
      <c r="C5" s="29" t="s">
        <v>81</v>
      </c>
      <c r="D5" s="29" t="s">
        <v>82</v>
      </c>
      <c r="E5" s="29" t="s">
        <v>83</v>
      </c>
      <c r="F5" s="29" t="s">
        <v>84</v>
      </c>
    </row>
    <row r="6" spans="2:6" ht="19.5" customHeight="1" x14ac:dyDescent="0.3">
      <c r="B6" s="9">
        <v>0</v>
      </c>
      <c r="C6" s="8" t="s">
        <v>85</v>
      </c>
      <c r="D6" s="13">
        <v>500</v>
      </c>
      <c r="E6" s="13">
        <v>50</v>
      </c>
      <c r="F6" s="30" t="s">
        <v>86</v>
      </c>
    </row>
    <row r="7" spans="2:6" ht="19.5" customHeight="1" x14ac:dyDescent="0.3">
      <c r="B7" s="9">
        <v>100001</v>
      </c>
      <c r="C7" s="59" t="s">
        <v>260</v>
      </c>
      <c r="D7" s="13">
        <v>2000</v>
      </c>
      <c r="E7" s="13">
        <v>100</v>
      </c>
      <c r="F7" s="30" t="s">
        <v>86</v>
      </c>
    </row>
    <row r="8" spans="2:6" ht="19.5" customHeight="1" x14ac:dyDescent="0.3">
      <c r="B8" s="9">
        <v>500001</v>
      </c>
      <c r="C8" s="59" t="s">
        <v>261</v>
      </c>
      <c r="D8" s="13">
        <v>4000</v>
      </c>
      <c r="E8" s="13">
        <v>150</v>
      </c>
      <c r="F8" s="30" t="s">
        <v>86</v>
      </c>
    </row>
    <row r="9" spans="2:6" ht="19.5" customHeight="1" x14ac:dyDescent="0.3">
      <c r="B9" s="9">
        <v>1000001</v>
      </c>
      <c r="C9" s="8" t="s">
        <v>87</v>
      </c>
      <c r="D9" s="13">
        <v>5000</v>
      </c>
      <c r="E9" s="13">
        <v>200</v>
      </c>
      <c r="F9" s="30" t="s">
        <v>86</v>
      </c>
    </row>
    <row r="11" spans="2:6" ht="19.5" customHeight="1" x14ac:dyDescent="0.3">
      <c r="B11" s="31" t="s">
        <v>88</v>
      </c>
      <c r="C11" s="31"/>
      <c r="D11" s="31"/>
      <c r="E11" s="31"/>
      <c r="F11" s="31"/>
    </row>
    <row r="12" spans="2:6" ht="27.75" customHeight="1" x14ac:dyDescent="0.3">
      <c r="B12" s="8" t="s">
        <v>89</v>
      </c>
      <c r="C12" s="10"/>
      <c r="D12" s="13">
        <v>200</v>
      </c>
      <c r="E12" s="10"/>
      <c r="F12" s="30" t="s">
        <v>23</v>
      </c>
    </row>
    <row r="13" spans="2:6" ht="27.75" customHeight="1" x14ac:dyDescent="0.3">
      <c r="B13" s="8" t="s">
        <v>90</v>
      </c>
      <c r="C13" s="10"/>
      <c r="D13" s="13">
        <v>500</v>
      </c>
      <c r="E13" s="10"/>
      <c r="F13" s="30" t="s">
        <v>91</v>
      </c>
    </row>
    <row r="14" spans="2:6" ht="27.75" customHeight="1" x14ac:dyDescent="0.3">
      <c r="B14" s="8" t="s">
        <v>38</v>
      </c>
      <c r="C14" s="10"/>
      <c r="D14" s="13">
        <v>143</v>
      </c>
      <c r="E14" s="10"/>
      <c r="F14" s="30" t="s">
        <v>92</v>
      </c>
    </row>
    <row r="16" spans="2:6" ht="25.5" customHeight="1" x14ac:dyDescent="0.3">
      <c r="B16" s="1" t="s">
        <v>93</v>
      </c>
      <c r="C16" s="1"/>
      <c r="D16" s="1"/>
      <c r="E16" s="1"/>
      <c r="F16" s="1"/>
    </row>
  </sheetData>
  <mergeCells count="2">
    <mergeCell ref="B3:F3"/>
    <mergeCell ref="B16:F16"/>
  </mergeCells>
  <pageMargins left="0.75" right="0.75" top="1" bottom="1" header="0.511811023622047" footer="0.51180555555555596"/>
  <pageSetup paperSize="9" orientation="portrait" horizontalDpi="300" verticalDpi="300"/>
  <headerFooter>
    <oddFooter>&amp;L&amp;8 Company Avenue Advisory Private Limited&amp;R&amp;8 Page &amp;P of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48235"/>
    <pageSetUpPr fitToPage="1"/>
  </sheetPr>
  <dimension ref="B2:I43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 activeCell="C12" sqref="C12"/>
    </sheetView>
  </sheetViews>
  <sheetFormatPr defaultColWidth="8.6640625" defaultRowHeight="14.4" x14ac:dyDescent="0.3"/>
  <cols>
    <col min="1" max="1" width="3" customWidth="1"/>
    <col min="2" max="2" width="34" customWidth="1"/>
    <col min="3" max="3" width="12" customWidth="1"/>
    <col min="4" max="4" width="14" customWidth="1"/>
    <col min="5" max="5" width="13" customWidth="1"/>
    <col min="6" max="6" width="16" customWidth="1"/>
    <col min="7" max="7" width="50" customWidth="1"/>
    <col min="8" max="8" width="44" customWidth="1"/>
    <col min="9" max="9" width="18" customWidth="1"/>
  </cols>
  <sheetData>
    <row r="2" spans="2:9" ht="15.75" customHeight="1" x14ac:dyDescent="0.3">
      <c r="B2" s="28" t="s">
        <v>94</v>
      </c>
    </row>
    <row r="3" spans="2:9" ht="31.5" customHeight="1" x14ac:dyDescent="0.3">
      <c r="B3" s="1" t="s">
        <v>95</v>
      </c>
      <c r="C3" s="1"/>
      <c r="D3" s="1"/>
      <c r="E3" s="1"/>
      <c r="F3" s="1"/>
      <c r="G3" s="1"/>
      <c r="H3" s="1"/>
      <c r="I3" s="1"/>
    </row>
    <row r="5" spans="2:9" ht="39.75" customHeight="1" x14ac:dyDescent="0.3">
      <c r="B5" s="29" t="s">
        <v>96</v>
      </c>
      <c r="C5" s="29" t="s">
        <v>97</v>
      </c>
      <c r="D5" s="29" t="s">
        <v>98</v>
      </c>
      <c r="E5" s="29" t="s">
        <v>99</v>
      </c>
      <c r="F5" s="29" t="s">
        <v>100</v>
      </c>
      <c r="G5" s="29" t="s">
        <v>101</v>
      </c>
      <c r="H5" s="29" t="s">
        <v>102</v>
      </c>
      <c r="I5" s="29" t="s">
        <v>103</v>
      </c>
    </row>
    <row r="6" spans="2:9" ht="24" customHeight="1" x14ac:dyDescent="0.3">
      <c r="B6" s="32" t="s">
        <v>104</v>
      </c>
      <c r="C6" s="33" t="s">
        <v>105</v>
      </c>
      <c r="D6" s="34">
        <v>0</v>
      </c>
      <c r="E6" s="34">
        <v>0</v>
      </c>
      <c r="F6" s="34">
        <v>0</v>
      </c>
      <c r="G6" s="35" t="s">
        <v>106</v>
      </c>
      <c r="H6" s="36" t="s">
        <v>107</v>
      </c>
      <c r="I6" s="37" t="str">
        <f>IF($C6="VERIFY","verify",IF($C6="FLAT",$D6,IF($C6="PERCENT",MIN(IF($F6=0,1000000000,$F6),MAX('LLP Calculator'!$C$6*$D6,$E6)),IF($C6="SLAB-KA",$D6+1000*ROUNDUP(MAX(0,'LLP Calculator'!$C$6-1000000)/500000,0),"verify"))))</f>
        <v>verify</v>
      </c>
    </row>
    <row r="7" spans="2:9" ht="24" customHeight="1" x14ac:dyDescent="0.3">
      <c r="B7" s="38" t="s">
        <v>108</v>
      </c>
      <c r="C7" s="39" t="s">
        <v>109</v>
      </c>
      <c r="D7" s="40">
        <v>500</v>
      </c>
      <c r="E7" s="40">
        <v>0</v>
      </c>
      <c r="F7" s="40">
        <v>0</v>
      </c>
      <c r="G7" s="41" t="s">
        <v>110</v>
      </c>
      <c r="H7" s="30" t="s">
        <v>111</v>
      </c>
      <c r="I7" s="42">
        <f>IF($C7="VERIFY","verify",IF($C7="FLAT",$D7,IF($C7="PERCENT",MIN(IF($F7=0,1000000000,$F7),MAX('LLP Calculator'!$C$6*$D7,$E7)),IF($C7="SLAB-KA",$D7+1000*ROUNDUP(MAX(0,'LLP Calculator'!$C$6-1000000)/500000,0),"verify"))))</f>
        <v>500</v>
      </c>
    </row>
    <row r="8" spans="2:9" ht="24" customHeight="1" x14ac:dyDescent="0.3">
      <c r="B8" s="32" t="s">
        <v>112</v>
      </c>
      <c r="C8" s="33" t="s">
        <v>105</v>
      </c>
      <c r="D8" s="34">
        <v>0</v>
      </c>
      <c r="E8" s="34">
        <v>0</v>
      </c>
      <c r="F8" s="34">
        <v>0</v>
      </c>
      <c r="G8" s="35" t="s">
        <v>113</v>
      </c>
      <c r="H8" s="36" t="s">
        <v>114</v>
      </c>
      <c r="I8" s="37" t="str">
        <f>IF($C8="VERIFY","verify",IF($C8="FLAT",$D8,IF($C8="PERCENT",MIN(IF($F8=0,1000000000,$F8),MAX('LLP Calculator'!$C$6*$D8,$E8)),IF($C8="SLAB-KA",$D8+1000*ROUNDUP(MAX(0,'LLP Calculator'!$C$6-1000000)/500000,0),"verify"))))</f>
        <v>verify</v>
      </c>
    </row>
    <row r="9" spans="2:9" ht="24" customHeight="1" x14ac:dyDescent="0.3">
      <c r="B9" s="38" t="s">
        <v>115</v>
      </c>
      <c r="C9" s="39" t="s">
        <v>109</v>
      </c>
      <c r="D9" s="40">
        <v>100</v>
      </c>
      <c r="E9" s="40">
        <v>0</v>
      </c>
      <c r="F9" s="40">
        <v>0</v>
      </c>
      <c r="G9" s="41" t="s">
        <v>116</v>
      </c>
      <c r="H9" s="30" t="s">
        <v>111</v>
      </c>
      <c r="I9" s="42">
        <f>IF($C9="VERIFY","verify",IF($C9="FLAT",$D9,IF($C9="PERCENT",MIN(IF($F9=0,1000000000,$F9),MAX('LLP Calculator'!$C$6*$D9,$E9)),IF($C9="SLAB-KA",$D9+1000*ROUNDUP(MAX(0,'LLP Calculator'!$C$6-1000000)/500000,0),"verify"))))</f>
        <v>100</v>
      </c>
    </row>
    <row r="10" spans="2:9" ht="24" customHeight="1" x14ac:dyDescent="0.3">
      <c r="B10" s="32" t="s">
        <v>117</v>
      </c>
      <c r="C10" s="33" t="s">
        <v>109</v>
      </c>
      <c r="D10" s="34">
        <v>5000</v>
      </c>
      <c r="E10" s="34">
        <v>0</v>
      </c>
      <c r="F10" s="34">
        <v>0</v>
      </c>
      <c r="G10" s="35" t="s">
        <v>118</v>
      </c>
      <c r="H10" s="43" t="s">
        <v>111</v>
      </c>
      <c r="I10" s="37">
        <f>IF($C10="VERIFY","verify",IF($C10="FLAT",$D10,IF($C10="PERCENT",MIN(IF($F10=0,1000000000,$F10),MAX('LLP Calculator'!$C$6*$D10,$E10)),IF($C10="SLAB-KA",$D10+1000*ROUNDUP(MAX(0,'LLP Calculator'!$C$6-1000000)/500000,0),"verify"))))</f>
        <v>5000</v>
      </c>
    </row>
    <row r="11" spans="2:9" ht="24" customHeight="1" x14ac:dyDescent="0.3">
      <c r="B11" s="38" t="s">
        <v>119</v>
      </c>
      <c r="C11" s="39" t="s">
        <v>105</v>
      </c>
      <c r="D11" s="40">
        <v>0</v>
      </c>
      <c r="E11" s="40">
        <v>0</v>
      </c>
      <c r="F11" s="40">
        <v>0</v>
      </c>
      <c r="G11" s="41" t="s">
        <v>120</v>
      </c>
      <c r="H11" s="44" t="s">
        <v>107</v>
      </c>
      <c r="I11" s="42" t="str">
        <f>IF($C11="VERIFY","verify",IF($C11="FLAT",$D11,IF($C11="PERCENT",MIN(IF($F11=0,1000000000,$F11),MAX('LLP Calculator'!$C$6*$D11,$E11)),IF($C11="SLAB-KA",$D11+1000*ROUNDUP(MAX(0,'LLP Calculator'!$C$6-1000000)/500000,0),"verify"))))</f>
        <v>verify</v>
      </c>
    </row>
    <row r="12" spans="2:9" ht="24" customHeight="1" x14ac:dyDescent="0.3">
      <c r="B12" s="32" t="s">
        <v>121</v>
      </c>
      <c r="C12" s="33" t="s">
        <v>109</v>
      </c>
      <c r="D12" s="34">
        <v>100</v>
      </c>
      <c r="E12" s="34">
        <v>0</v>
      </c>
      <c r="F12" s="34">
        <v>0</v>
      </c>
      <c r="G12" s="35" t="s">
        <v>116</v>
      </c>
      <c r="H12" s="43" t="s">
        <v>111</v>
      </c>
      <c r="I12" s="37">
        <f>IF($C12="VERIFY","verify",IF($C12="FLAT",$D12,IF($C12="PERCENT",MIN(IF($F12=0,1000000000,$F12),MAX('LLP Calculator'!$C$6*$D12,$E12)),IF($C12="SLAB-KA",$D12+1000*ROUNDUP(MAX(0,'LLP Calculator'!$C$6-1000000)/500000,0),"verify"))))</f>
        <v>100</v>
      </c>
    </row>
    <row r="13" spans="2:9" ht="24" customHeight="1" x14ac:dyDescent="0.3">
      <c r="B13" s="38" t="s">
        <v>122</v>
      </c>
      <c r="C13" s="39" t="s">
        <v>105</v>
      </c>
      <c r="D13" s="40">
        <v>0</v>
      </c>
      <c r="E13" s="40">
        <v>0</v>
      </c>
      <c r="F13" s="40">
        <v>0</v>
      </c>
      <c r="G13" s="41" t="s">
        <v>106</v>
      </c>
      <c r="H13" s="44" t="s">
        <v>107</v>
      </c>
      <c r="I13" s="42" t="str">
        <f>IF($C13="VERIFY","verify",IF($C13="FLAT",$D13,IF($C13="PERCENT",MIN(IF($F13=0,1000000000,$F13),MAX('LLP Calculator'!$C$6*$D13,$E13)),IF($C13="SLAB-KA",$D13+1000*ROUNDUP(MAX(0,'LLP Calculator'!$C$6-1000000)/500000,0),"verify"))))</f>
        <v>verify</v>
      </c>
    </row>
    <row r="14" spans="2:9" ht="24" customHeight="1" x14ac:dyDescent="0.3">
      <c r="B14" s="32" t="s">
        <v>7</v>
      </c>
      <c r="C14" s="33" t="s">
        <v>123</v>
      </c>
      <c r="D14" s="45">
        <v>0.01</v>
      </c>
      <c r="E14" s="34">
        <v>200</v>
      </c>
      <c r="F14" s="34">
        <v>5000</v>
      </c>
      <c r="G14" s="35" t="s">
        <v>124</v>
      </c>
      <c r="H14" s="36" t="s">
        <v>125</v>
      </c>
      <c r="I14" s="37">
        <f>IF($C14="VERIFY","verify",IF($C14="FLAT",$D14,IF($C14="PERCENT",MIN(IF($F14=0,1000000000,$F14),MAX('LLP Calculator'!$C$6*$D14,$E14)),IF($C14="SLAB-KA",$D14+1000*ROUNDUP(MAX(0,'LLP Calculator'!$C$6-1000000)/500000,0),"verify"))))</f>
        <v>5000</v>
      </c>
    </row>
    <row r="15" spans="2:9" ht="24" customHeight="1" x14ac:dyDescent="0.3">
      <c r="B15" s="38" t="s">
        <v>126</v>
      </c>
      <c r="C15" s="39" t="s">
        <v>109</v>
      </c>
      <c r="D15" s="40">
        <v>150</v>
      </c>
      <c r="E15" s="40">
        <v>0</v>
      </c>
      <c r="F15" s="40">
        <v>0</v>
      </c>
      <c r="G15" s="41" t="s">
        <v>127</v>
      </c>
      <c r="H15" s="30" t="s">
        <v>111</v>
      </c>
      <c r="I15" s="42">
        <f>IF($C15="VERIFY","verify",IF($C15="FLAT",$D15,IF($C15="PERCENT",MIN(IF($F15=0,1000000000,$F15),MAX('LLP Calculator'!$C$6*$D15,$E15)),IF($C15="SLAB-KA",$D15+1000*ROUNDUP(MAX(0,'LLP Calculator'!$C$6-1000000)/500000,0),"verify"))))</f>
        <v>150</v>
      </c>
    </row>
    <row r="16" spans="2:9" ht="24" customHeight="1" x14ac:dyDescent="0.3">
      <c r="B16" s="32" t="s">
        <v>128</v>
      </c>
      <c r="C16" s="33" t="s">
        <v>123</v>
      </c>
      <c r="D16" s="45">
        <v>0.01</v>
      </c>
      <c r="E16" s="34">
        <v>1000</v>
      </c>
      <c r="F16" s="34">
        <v>10000</v>
      </c>
      <c r="G16" s="35" t="s">
        <v>129</v>
      </c>
      <c r="H16" s="43" t="s">
        <v>111</v>
      </c>
      <c r="I16" s="37">
        <f>IF($C16="VERIFY","verify",IF($C16="FLAT",$D16,IF($C16="PERCENT",MIN(IF($F16=0,1000000000,$F16),MAX('LLP Calculator'!$C$6*$D16,$E16)),IF($C16="SLAB-KA",$D16+1000*ROUNDUP(MAX(0,'LLP Calculator'!$C$6-1000000)/500000,0),"verify"))))</f>
        <v>5000</v>
      </c>
    </row>
    <row r="17" spans="2:9" ht="24" customHeight="1" x14ac:dyDescent="0.3">
      <c r="B17" s="38" t="s">
        <v>130</v>
      </c>
      <c r="C17" s="39" t="s">
        <v>109</v>
      </c>
      <c r="D17" s="40">
        <v>1000</v>
      </c>
      <c r="E17" s="40">
        <v>0</v>
      </c>
      <c r="F17" s="40">
        <v>0</v>
      </c>
      <c r="G17" s="41" t="s">
        <v>131</v>
      </c>
      <c r="H17" s="30" t="s">
        <v>111</v>
      </c>
      <c r="I17" s="42">
        <f>IF($C17="VERIFY","verify",IF($C17="FLAT",$D17,IF($C17="PERCENT",MIN(IF($F17=0,1000000000,$F17),MAX('LLP Calculator'!$C$6*$D17,$E17)),IF($C17="SLAB-KA",$D17+1000*ROUNDUP(MAX(0,'LLP Calculator'!$C$6-1000000)/500000,0),"verify"))))</f>
        <v>1000</v>
      </c>
    </row>
    <row r="18" spans="2:9" ht="24" customHeight="1" x14ac:dyDescent="0.3">
      <c r="B18" s="32" t="s">
        <v>132</v>
      </c>
      <c r="C18" s="33" t="s">
        <v>109</v>
      </c>
      <c r="D18" s="34">
        <v>100</v>
      </c>
      <c r="E18" s="34">
        <v>0</v>
      </c>
      <c r="F18" s="34">
        <v>0</v>
      </c>
      <c r="G18" s="35" t="s">
        <v>116</v>
      </c>
      <c r="H18" s="43" t="s">
        <v>111</v>
      </c>
      <c r="I18" s="37">
        <f>IF($C18="VERIFY","verify",IF($C18="FLAT",$D18,IF($C18="PERCENT",MIN(IF($F18=0,1000000000,$F18),MAX('LLP Calculator'!$C$6*$D18,$E18)),IF($C18="SLAB-KA",$D18+1000*ROUNDUP(MAX(0,'LLP Calculator'!$C$6-1000000)/500000,0),"verify"))))</f>
        <v>100</v>
      </c>
    </row>
    <row r="19" spans="2:9" ht="24" customHeight="1" x14ac:dyDescent="0.3">
      <c r="B19" s="38" t="s">
        <v>133</v>
      </c>
      <c r="C19" s="39" t="s">
        <v>109</v>
      </c>
      <c r="D19" s="40">
        <v>100</v>
      </c>
      <c r="E19" s="40">
        <v>0</v>
      </c>
      <c r="F19" s="40">
        <v>0</v>
      </c>
      <c r="G19" s="41" t="s">
        <v>116</v>
      </c>
      <c r="H19" s="30" t="s">
        <v>111</v>
      </c>
      <c r="I19" s="42">
        <f>IF($C19="VERIFY","verify",IF($C19="FLAT",$D19,IF($C19="PERCENT",MIN(IF($F19=0,1000000000,$F19),MAX('LLP Calculator'!$C$6*$D19,$E19)),IF($C19="SLAB-KA",$D19+1000*ROUNDUP(MAX(0,'LLP Calculator'!$C$6-1000000)/500000,0),"verify"))))</f>
        <v>100</v>
      </c>
    </row>
    <row r="20" spans="2:9" ht="24" customHeight="1" x14ac:dyDescent="0.3">
      <c r="B20" s="32" t="s">
        <v>134</v>
      </c>
      <c r="C20" s="33" t="s">
        <v>109</v>
      </c>
      <c r="D20" s="34">
        <v>100</v>
      </c>
      <c r="E20" s="34">
        <v>0</v>
      </c>
      <c r="F20" s="34">
        <v>0</v>
      </c>
      <c r="G20" s="35" t="s">
        <v>116</v>
      </c>
      <c r="H20" s="43" t="s">
        <v>111</v>
      </c>
      <c r="I20" s="37">
        <f>IF($C20="VERIFY","verify",IF($C20="FLAT",$D20,IF($C20="PERCENT",MIN(IF($F20=0,1000000000,$F20),MAX('LLP Calculator'!$C$6*$D20,$E20)),IF($C20="SLAB-KA",$D20+1000*ROUNDUP(MAX(0,'LLP Calculator'!$C$6-1000000)/500000,0),"verify"))))</f>
        <v>100</v>
      </c>
    </row>
    <row r="21" spans="2:9" ht="24" customHeight="1" x14ac:dyDescent="0.3">
      <c r="B21" s="38" t="s">
        <v>135</v>
      </c>
      <c r="C21" s="39" t="s">
        <v>136</v>
      </c>
      <c r="D21" s="40">
        <v>5000</v>
      </c>
      <c r="E21" s="40">
        <v>0</v>
      </c>
      <c r="F21" s="40">
        <v>0</v>
      </c>
      <c r="G21" s="41" t="s">
        <v>137</v>
      </c>
      <c r="H21" s="44" t="s">
        <v>138</v>
      </c>
      <c r="I21" s="42">
        <f>IF($C21="VERIFY","verify",IF($C21="FLAT",$D21,IF($C21="PERCENT",MIN(IF($F21=0,1000000000,$F21),MAX('LLP Calculator'!$C$6*$D21,$E21)),IF($C21="SLAB-KA",$D21+1000*ROUNDUP(MAX(0,'LLP Calculator'!$C$6-1000000)/500000,0),"verify"))))</f>
        <v>5000</v>
      </c>
    </row>
    <row r="22" spans="2:9" ht="24" customHeight="1" x14ac:dyDescent="0.3">
      <c r="B22" s="32" t="s">
        <v>139</v>
      </c>
      <c r="C22" s="33" t="s">
        <v>109</v>
      </c>
      <c r="D22" s="34">
        <v>5000</v>
      </c>
      <c r="E22" s="34">
        <v>0</v>
      </c>
      <c r="F22" s="34">
        <v>0</v>
      </c>
      <c r="G22" s="35" t="s">
        <v>118</v>
      </c>
      <c r="H22" s="43" t="s">
        <v>111</v>
      </c>
      <c r="I22" s="37">
        <f>IF($C22="VERIFY","verify",IF($C22="FLAT",$D22,IF($C22="PERCENT",MIN(IF($F22=0,1000000000,$F22),MAX('LLP Calculator'!$C$6*$D22,$E22)),IF($C22="SLAB-KA",$D22+1000*ROUNDUP(MAX(0,'LLP Calculator'!$C$6-1000000)/500000,0),"verify"))))</f>
        <v>5000</v>
      </c>
    </row>
    <row r="23" spans="2:9" ht="24" customHeight="1" x14ac:dyDescent="0.3">
      <c r="B23" s="38" t="s">
        <v>140</v>
      </c>
      <c r="C23" s="39" t="s">
        <v>105</v>
      </c>
      <c r="D23" s="40">
        <v>0</v>
      </c>
      <c r="E23" s="40">
        <v>0</v>
      </c>
      <c r="F23" s="40">
        <v>0</v>
      </c>
      <c r="G23" s="41" t="s">
        <v>106</v>
      </c>
      <c r="H23" s="44" t="s">
        <v>107</v>
      </c>
      <c r="I23" s="42" t="str">
        <f>IF($C23="VERIFY","verify",IF($C23="FLAT",$D23,IF($C23="PERCENT",MIN(IF($F23=0,1000000000,$F23),MAX('LLP Calculator'!$C$6*$D23,$E23)),IF($C23="SLAB-KA",$D23+1000*ROUNDUP(MAX(0,'LLP Calculator'!$C$6-1000000)/500000,0),"verify"))))</f>
        <v>verify</v>
      </c>
    </row>
    <row r="24" spans="2:9" ht="24" customHeight="1" x14ac:dyDescent="0.3">
      <c r="B24" s="32" t="s">
        <v>141</v>
      </c>
      <c r="C24" s="33" t="s">
        <v>105</v>
      </c>
      <c r="D24" s="34">
        <v>0</v>
      </c>
      <c r="E24" s="34">
        <v>0</v>
      </c>
      <c r="F24" s="34">
        <v>0</v>
      </c>
      <c r="G24" s="35" t="s">
        <v>106</v>
      </c>
      <c r="H24" s="36" t="s">
        <v>107</v>
      </c>
      <c r="I24" s="37" t="str">
        <f>IF($C24="VERIFY","verify",IF($C24="FLAT",$D24,IF($C24="PERCENT",MIN(IF($F24=0,1000000000,$F24),MAX('LLP Calculator'!$C$6*$D24,$E24)),IF($C24="SLAB-KA",$D24+1000*ROUNDUP(MAX(0,'LLP Calculator'!$C$6-1000000)/500000,0),"verify"))))</f>
        <v>verify</v>
      </c>
    </row>
    <row r="25" spans="2:9" ht="24" customHeight="1" x14ac:dyDescent="0.3">
      <c r="B25" s="38" t="s">
        <v>142</v>
      </c>
      <c r="C25" s="39" t="s">
        <v>123</v>
      </c>
      <c r="D25" s="46">
        <v>0.02</v>
      </c>
      <c r="E25" s="40">
        <v>2000</v>
      </c>
      <c r="F25" s="40">
        <v>10000</v>
      </c>
      <c r="G25" s="41" t="s">
        <v>143</v>
      </c>
      <c r="H25" s="30" t="s">
        <v>111</v>
      </c>
      <c r="I25" s="42">
        <f>IF($C25="VERIFY","verify",IF($C25="FLAT",$D25,IF($C25="PERCENT",MIN(IF($F25=0,1000000000,$F25),MAX('LLP Calculator'!$C$6*$D25,$E25)),IF($C25="SLAB-KA",$D25+1000*ROUNDUP(MAX(0,'LLP Calculator'!$C$6-1000000)/500000,0),"verify"))))</f>
        <v>10000</v>
      </c>
    </row>
    <row r="26" spans="2:9" ht="24" customHeight="1" x14ac:dyDescent="0.3">
      <c r="B26" s="32" t="s">
        <v>144</v>
      </c>
      <c r="C26" s="33" t="s">
        <v>123</v>
      </c>
      <c r="D26" s="45">
        <v>0.01</v>
      </c>
      <c r="E26" s="34">
        <v>500</v>
      </c>
      <c r="F26" s="34">
        <v>15000</v>
      </c>
      <c r="G26" s="35" t="s">
        <v>145</v>
      </c>
      <c r="H26" s="43" t="s">
        <v>111</v>
      </c>
      <c r="I26" s="37">
        <f>IF($C26="VERIFY","verify",IF($C26="FLAT",$D26,IF($C26="PERCENT",MIN(IF($F26=0,1000000000,$F26),MAX('LLP Calculator'!$C$6*$D26,$E26)),IF($C26="SLAB-KA",$D26+1000*ROUNDUP(MAX(0,'LLP Calculator'!$C$6-1000000)/500000,0),"verify"))))</f>
        <v>5000</v>
      </c>
    </row>
    <row r="27" spans="2:9" ht="24" customHeight="1" x14ac:dyDescent="0.3">
      <c r="B27" s="38" t="s">
        <v>146</v>
      </c>
      <c r="C27" s="39" t="s">
        <v>105</v>
      </c>
      <c r="D27" s="40">
        <v>0</v>
      </c>
      <c r="E27" s="40">
        <v>0</v>
      </c>
      <c r="F27" s="40">
        <v>0</v>
      </c>
      <c r="G27" s="41" t="s">
        <v>113</v>
      </c>
      <c r="H27" s="44" t="s">
        <v>107</v>
      </c>
      <c r="I27" s="42" t="str">
        <f>IF($C27="VERIFY","verify",IF($C27="FLAT",$D27,IF($C27="PERCENT",MIN(IF($F27=0,1000000000,$F27),MAX('LLP Calculator'!$C$6*$D27,$E27)),IF($C27="SLAB-KA",$D27+1000*ROUNDUP(MAX(0,'LLP Calculator'!$C$6-1000000)/500000,0),"verify"))))</f>
        <v>verify</v>
      </c>
    </row>
    <row r="28" spans="2:9" ht="24" customHeight="1" x14ac:dyDescent="0.3">
      <c r="B28" s="32" t="s">
        <v>147</v>
      </c>
      <c r="C28" s="33" t="s">
        <v>105</v>
      </c>
      <c r="D28" s="34">
        <v>0</v>
      </c>
      <c r="E28" s="34">
        <v>0</v>
      </c>
      <c r="F28" s="34">
        <v>0</v>
      </c>
      <c r="G28" s="35" t="s">
        <v>113</v>
      </c>
      <c r="H28" s="36" t="s">
        <v>107</v>
      </c>
      <c r="I28" s="37" t="str">
        <f>IF($C28="VERIFY","verify",IF($C28="FLAT",$D28,IF($C28="PERCENT",MIN(IF($F28=0,1000000000,$F28),MAX('LLP Calculator'!$C$6*$D28,$E28)),IF($C28="SLAB-KA",$D28+1000*ROUNDUP(MAX(0,'LLP Calculator'!$C$6-1000000)/500000,0),"verify"))))</f>
        <v>verify</v>
      </c>
    </row>
    <row r="29" spans="2:9" ht="24" customHeight="1" x14ac:dyDescent="0.3">
      <c r="B29" s="38" t="s">
        <v>148</v>
      </c>
      <c r="C29" s="39" t="s">
        <v>105</v>
      </c>
      <c r="D29" s="40">
        <v>0</v>
      </c>
      <c r="E29" s="40">
        <v>0</v>
      </c>
      <c r="F29" s="40">
        <v>0</v>
      </c>
      <c r="G29" s="41" t="s">
        <v>113</v>
      </c>
      <c r="H29" s="44" t="s">
        <v>107</v>
      </c>
      <c r="I29" s="42" t="str">
        <f>IF($C29="VERIFY","verify",IF($C29="FLAT",$D29,IF($C29="PERCENT",MIN(IF($F29=0,1000000000,$F29),MAX('LLP Calculator'!$C$6*$D29,$E29)),IF($C29="SLAB-KA",$D29+1000*ROUNDUP(MAX(0,'LLP Calculator'!$C$6-1000000)/500000,0),"verify"))))</f>
        <v>verify</v>
      </c>
    </row>
    <row r="30" spans="2:9" ht="24" customHeight="1" x14ac:dyDescent="0.3">
      <c r="B30" s="32" t="s">
        <v>149</v>
      </c>
      <c r="C30" s="33" t="s">
        <v>105</v>
      </c>
      <c r="D30" s="34">
        <v>0</v>
      </c>
      <c r="E30" s="34">
        <v>0</v>
      </c>
      <c r="F30" s="34">
        <v>0</v>
      </c>
      <c r="G30" s="35" t="s">
        <v>113</v>
      </c>
      <c r="H30" s="36" t="s">
        <v>107</v>
      </c>
      <c r="I30" s="37" t="str">
        <f>IF($C30="VERIFY","verify",IF($C30="FLAT",$D30,IF($C30="PERCENT",MIN(IF($F30=0,1000000000,$F30),MAX('LLP Calculator'!$C$6*$D30,$E30)),IF($C30="SLAB-KA",$D30+1000*ROUNDUP(MAX(0,'LLP Calculator'!$C$6-1000000)/500000,0),"verify"))))</f>
        <v>verify</v>
      </c>
    </row>
    <row r="31" spans="2:9" ht="24" customHeight="1" x14ac:dyDescent="0.3">
      <c r="B31" s="38" t="s">
        <v>150</v>
      </c>
      <c r="C31" s="39" t="s">
        <v>109</v>
      </c>
      <c r="D31" s="40">
        <v>100</v>
      </c>
      <c r="E31" s="40">
        <v>0</v>
      </c>
      <c r="F31" s="40">
        <v>0</v>
      </c>
      <c r="G31" s="41" t="s">
        <v>116</v>
      </c>
      <c r="H31" s="30" t="s">
        <v>111</v>
      </c>
      <c r="I31" s="42">
        <f>IF($C31="VERIFY","verify",IF($C31="FLAT",$D31,IF($C31="PERCENT",MIN(IF($F31=0,1000000000,$F31),MAX('LLP Calculator'!$C$6*$D31,$E31)),IF($C31="SLAB-KA",$D31+1000*ROUNDUP(MAX(0,'LLP Calculator'!$C$6-1000000)/500000,0),"verify"))))</f>
        <v>100</v>
      </c>
    </row>
    <row r="32" spans="2:9" ht="24" customHeight="1" x14ac:dyDescent="0.3">
      <c r="B32" s="32" t="s">
        <v>151</v>
      </c>
      <c r="C32" s="33" t="s">
        <v>105</v>
      </c>
      <c r="D32" s="34">
        <v>0</v>
      </c>
      <c r="E32" s="34">
        <v>0</v>
      </c>
      <c r="F32" s="34">
        <v>0</v>
      </c>
      <c r="G32" s="35" t="s">
        <v>120</v>
      </c>
      <c r="H32" s="36" t="s">
        <v>107</v>
      </c>
      <c r="I32" s="37" t="str">
        <f>IF($C32="VERIFY","verify",IF($C32="FLAT",$D32,IF($C32="PERCENT",MIN(IF($F32=0,1000000000,$F32),MAX('LLP Calculator'!$C$6*$D32,$E32)),IF($C32="SLAB-KA",$D32+1000*ROUNDUP(MAX(0,'LLP Calculator'!$C$6-1000000)/500000,0),"verify"))))</f>
        <v>verify</v>
      </c>
    </row>
    <row r="33" spans="2:9" ht="24" customHeight="1" x14ac:dyDescent="0.3">
      <c r="B33" s="38" t="s">
        <v>152</v>
      </c>
      <c r="C33" s="39" t="s">
        <v>109</v>
      </c>
      <c r="D33" s="40">
        <v>1000</v>
      </c>
      <c r="E33" s="40">
        <v>0</v>
      </c>
      <c r="F33" s="40">
        <v>0</v>
      </c>
      <c r="G33" s="41" t="s">
        <v>131</v>
      </c>
      <c r="H33" s="30" t="s">
        <v>111</v>
      </c>
      <c r="I33" s="42">
        <f>IF($C33="VERIFY","verify",IF($C33="FLAT",$D33,IF($C33="PERCENT",MIN(IF($F33=0,1000000000,$F33),MAX('LLP Calculator'!$C$6*$D33,$E33)),IF($C33="SLAB-KA",$D33+1000*ROUNDUP(MAX(0,'LLP Calculator'!$C$6-1000000)/500000,0),"verify"))))</f>
        <v>1000</v>
      </c>
    </row>
    <row r="34" spans="2:9" ht="24" customHeight="1" x14ac:dyDescent="0.3">
      <c r="B34" s="32" t="s">
        <v>153</v>
      </c>
      <c r="C34" s="33" t="s">
        <v>123</v>
      </c>
      <c r="D34" s="45">
        <v>0.01</v>
      </c>
      <c r="E34" s="34">
        <v>2000</v>
      </c>
      <c r="F34" s="34">
        <v>10000</v>
      </c>
      <c r="G34" s="35" t="s">
        <v>154</v>
      </c>
      <c r="H34" s="36" t="s">
        <v>155</v>
      </c>
      <c r="I34" s="37">
        <f>IF($C34="VERIFY","verify",IF($C34="FLAT",$D34,IF($C34="PERCENT",MIN(IF($F34=0,1000000000,$F34),MAX('LLP Calculator'!$C$6*$D34,$E34)),IF($C34="SLAB-KA",$D34+1000*ROUNDUP(MAX(0,'LLP Calculator'!$C$6-1000000)/500000,0),"verify"))))</f>
        <v>5000</v>
      </c>
    </row>
    <row r="35" spans="2:9" ht="24" customHeight="1" x14ac:dyDescent="0.3">
      <c r="B35" s="38" t="s">
        <v>156</v>
      </c>
      <c r="C35" s="39" t="s">
        <v>105</v>
      </c>
      <c r="D35" s="40">
        <v>0</v>
      </c>
      <c r="E35" s="40">
        <v>0</v>
      </c>
      <c r="F35" s="40">
        <v>0</v>
      </c>
      <c r="G35" s="41" t="s">
        <v>113</v>
      </c>
      <c r="H35" s="44" t="s">
        <v>107</v>
      </c>
      <c r="I35" s="42" t="str">
        <f>IF($C35="VERIFY","verify",IF($C35="FLAT",$D35,IF($C35="PERCENT",MIN(IF($F35=0,1000000000,$F35),MAX('LLP Calculator'!$C$6*$D35,$E35)),IF($C35="SLAB-KA",$D35+1000*ROUNDUP(MAX(0,'LLP Calculator'!$C$6-1000000)/500000,0),"verify"))))</f>
        <v>verify</v>
      </c>
    </row>
    <row r="36" spans="2:9" ht="24" customHeight="1" x14ac:dyDescent="0.3">
      <c r="B36" s="32" t="s">
        <v>157</v>
      </c>
      <c r="C36" s="33" t="s">
        <v>109</v>
      </c>
      <c r="D36" s="34">
        <v>300</v>
      </c>
      <c r="E36" s="34">
        <v>0</v>
      </c>
      <c r="F36" s="34">
        <v>0</v>
      </c>
      <c r="G36" s="35" t="s">
        <v>158</v>
      </c>
      <c r="H36" s="43" t="s">
        <v>111</v>
      </c>
      <c r="I36" s="37">
        <f>IF($C36="VERIFY","verify",IF($C36="FLAT",$D36,IF($C36="PERCENT",MIN(IF($F36=0,1000000000,$F36),MAX('LLP Calculator'!$C$6*$D36,$E36)),IF($C36="SLAB-KA",$D36+1000*ROUNDUP(MAX(0,'LLP Calculator'!$C$6-1000000)/500000,0),"verify"))))</f>
        <v>300</v>
      </c>
    </row>
    <row r="37" spans="2:9" ht="24" customHeight="1" x14ac:dyDescent="0.3">
      <c r="B37" s="38" t="s">
        <v>159</v>
      </c>
      <c r="C37" s="39" t="s">
        <v>109</v>
      </c>
      <c r="D37" s="40">
        <v>300</v>
      </c>
      <c r="E37" s="40">
        <v>0</v>
      </c>
      <c r="F37" s="40">
        <v>0</v>
      </c>
      <c r="G37" s="41" t="s">
        <v>160</v>
      </c>
      <c r="H37" s="44" t="s">
        <v>161</v>
      </c>
      <c r="I37" s="42">
        <f>IF($C37="VERIFY","verify",IF($C37="FLAT",$D37,IF($C37="PERCENT",MIN(IF($F37=0,1000000000,$F37),MAX('LLP Calculator'!$C$6*$D37,$E37)),IF($C37="SLAB-KA",$D37+1000*ROUNDUP(MAX(0,'LLP Calculator'!$C$6-1000000)/500000,0),"verify"))))</f>
        <v>300</v>
      </c>
    </row>
    <row r="38" spans="2:9" ht="24" customHeight="1" x14ac:dyDescent="0.3">
      <c r="B38" s="32" t="s">
        <v>162</v>
      </c>
      <c r="C38" s="33" t="s">
        <v>105</v>
      </c>
      <c r="D38" s="34">
        <v>0</v>
      </c>
      <c r="E38" s="34">
        <v>0</v>
      </c>
      <c r="F38" s="34">
        <v>0</v>
      </c>
      <c r="G38" s="35" t="s">
        <v>113</v>
      </c>
      <c r="H38" s="36" t="s">
        <v>107</v>
      </c>
      <c r="I38" s="37" t="str">
        <f>IF($C38="VERIFY","verify",IF($C38="FLAT",$D38,IF($C38="PERCENT",MIN(IF($F38=0,1000000000,$F38),MAX('LLP Calculator'!$C$6*$D38,$E38)),IF($C38="SLAB-KA",$D38+1000*ROUNDUP(MAX(0,'LLP Calculator'!$C$6-1000000)/500000,0),"verify"))))</f>
        <v>verify</v>
      </c>
    </row>
    <row r="39" spans="2:9" ht="24" customHeight="1" x14ac:dyDescent="0.3">
      <c r="B39" s="38" t="s">
        <v>163</v>
      </c>
      <c r="C39" s="39" t="s">
        <v>109</v>
      </c>
      <c r="D39" s="40">
        <v>750</v>
      </c>
      <c r="E39" s="40">
        <v>0</v>
      </c>
      <c r="F39" s="40">
        <v>0</v>
      </c>
      <c r="G39" s="41" t="s">
        <v>164</v>
      </c>
      <c r="H39" s="30" t="s">
        <v>111</v>
      </c>
      <c r="I39" s="42">
        <f>IF($C39="VERIFY","verify",IF($C39="FLAT",$D39,IF($C39="PERCENT",MIN(IF($F39=0,1000000000,$F39),MAX('LLP Calculator'!$C$6*$D39,$E39)),IF($C39="SLAB-KA",$D39+1000*ROUNDUP(MAX(0,'LLP Calculator'!$C$6-1000000)/500000,0),"verify"))))</f>
        <v>750</v>
      </c>
    </row>
    <row r="40" spans="2:9" ht="24" customHeight="1" x14ac:dyDescent="0.3">
      <c r="B40" s="32" t="s">
        <v>165</v>
      </c>
      <c r="C40" s="33" t="s">
        <v>109</v>
      </c>
      <c r="D40" s="34">
        <v>100</v>
      </c>
      <c r="E40" s="34">
        <v>0</v>
      </c>
      <c r="F40" s="34">
        <v>0</v>
      </c>
      <c r="G40" s="35" t="s">
        <v>116</v>
      </c>
      <c r="H40" s="43" t="s">
        <v>111</v>
      </c>
      <c r="I40" s="37">
        <f>IF($C40="VERIFY","verify",IF($C40="FLAT",$D40,IF($C40="PERCENT",MIN(IF($F40=0,1000000000,$F40),MAX('LLP Calculator'!$C$6*$D40,$E40)),IF($C40="SLAB-KA",$D40+1000*ROUNDUP(MAX(0,'LLP Calculator'!$C$6-1000000)/500000,0),"verify"))))</f>
        <v>100</v>
      </c>
    </row>
    <row r="41" spans="2:9" ht="24" customHeight="1" x14ac:dyDescent="0.3">
      <c r="B41" s="38" t="s">
        <v>166</v>
      </c>
      <c r="C41" s="39" t="s">
        <v>109</v>
      </c>
      <c r="D41" s="40">
        <v>150</v>
      </c>
      <c r="E41" s="40">
        <v>0</v>
      </c>
      <c r="F41" s="40">
        <v>0</v>
      </c>
      <c r="G41" s="41" t="s">
        <v>127</v>
      </c>
      <c r="H41" s="30" t="s">
        <v>111</v>
      </c>
      <c r="I41" s="42">
        <f>IF($C41="VERIFY","verify",IF($C41="FLAT",$D41,IF($C41="PERCENT",MIN(IF($F41=0,1000000000,$F41),MAX('LLP Calculator'!$C$6*$D41,$E41)),IF($C41="SLAB-KA",$D41+1000*ROUNDUP(MAX(0,'LLP Calculator'!$C$6-1000000)/500000,0),"verify"))))</f>
        <v>150</v>
      </c>
    </row>
    <row r="43" spans="2:9" ht="31.5" customHeight="1" x14ac:dyDescent="0.3">
      <c r="B43" s="2" t="s">
        <v>167</v>
      </c>
      <c r="C43" s="2"/>
      <c r="D43" s="2"/>
      <c r="E43" s="2"/>
      <c r="F43" s="2"/>
      <c r="G43" s="2"/>
      <c r="H43" s="2"/>
      <c r="I43" s="2"/>
    </row>
  </sheetData>
  <autoFilter ref="B5:I41" xr:uid="{00000000-0009-0000-0000-000002000000}"/>
  <mergeCells count="2">
    <mergeCell ref="B3:I3"/>
    <mergeCell ref="B43:I43"/>
  </mergeCells>
  <pageMargins left="0.75" right="0.75" top="1" bottom="1" header="0.511811023622047" footer="0.51180555555555596"/>
  <pageSetup paperSize="9" orientation="landscape" horizontalDpi="300" verticalDpi="300"/>
  <headerFooter>
    <oddFooter>&amp;L&amp;8 Company Avenue Advisory Private Limited&amp;R&amp;8 Page &amp;P of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808080"/>
    <pageSetUpPr fitToPage="1"/>
  </sheetPr>
  <dimension ref="A1:D37"/>
  <sheetViews>
    <sheetView showGridLines="0" zoomScaleNormal="100" workbookViewId="0"/>
  </sheetViews>
  <sheetFormatPr defaultColWidth="8.6640625" defaultRowHeight="14.4" x14ac:dyDescent="0.3"/>
  <cols>
    <col min="1" max="1" width="56" customWidth="1"/>
    <col min="2" max="2" width="44" customWidth="1"/>
    <col min="3" max="3" width="24" customWidth="1"/>
    <col min="4" max="4" width="20" customWidth="1"/>
  </cols>
  <sheetData>
    <row r="1" spans="1:4" ht="15.75" customHeight="1" x14ac:dyDescent="0.3">
      <c r="A1" s="28" t="s">
        <v>168</v>
      </c>
    </row>
    <row r="2" spans="1:4" ht="30" customHeight="1" x14ac:dyDescent="0.3">
      <c r="A2" s="1" t="s">
        <v>169</v>
      </c>
      <c r="B2" s="1"/>
      <c r="C2" s="1"/>
      <c r="D2" s="1"/>
    </row>
    <row r="4" spans="1:4" ht="15" customHeight="1" x14ac:dyDescent="0.3">
      <c r="A4" s="47" t="s">
        <v>170</v>
      </c>
    </row>
    <row r="5" spans="1:4" ht="23.25" customHeight="1" x14ac:dyDescent="0.3">
      <c r="A5" s="48" t="s">
        <v>171</v>
      </c>
    </row>
    <row r="6" spans="1:4" ht="15" customHeight="1" x14ac:dyDescent="0.3">
      <c r="A6" s="49" t="s">
        <v>172</v>
      </c>
      <c r="B6" s="49" t="s">
        <v>173</v>
      </c>
      <c r="C6" s="49" t="s">
        <v>174</v>
      </c>
      <c r="D6" s="49" t="s">
        <v>175</v>
      </c>
    </row>
    <row r="7" spans="1:4" ht="15" customHeight="1" x14ac:dyDescent="0.3">
      <c r="A7" s="48" t="s">
        <v>144</v>
      </c>
      <c r="B7" s="48" t="s">
        <v>176</v>
      </c>
      <c r="C7" s="48" t="s">
        <v>177</v>
      </c>
      <c r="D7" s="48" t="s">
        <v>178</v>
      </c>
    </row>
    <row r="8" spans="1:4" ht="15" customHeight="1" x14ac:dyDescent="0.3">
      <c r="A8" s="48" t="s">
        <v>179</v>
      </c>
      <c r="B8" s="48" t="s">
        <v>176</v>
      </c>
      <c r="C8" s="48" t="s">
        <v>180</v>
      </c>
      <c r="D8" s="48" t="s">
        <v>181</v>
      </c>
    </row>
    <row r="9" spans="1:4" ht="15" customHeight="1" x14ac:dyDescent="0.3">
      <c r="A9" s="48" t="s">
        <v>128</v>
      </c>
      <c r="B9" s="48" t="s">
        <v>176</v>
      </c>
      <c r="C9" s="48" t="s">
        <v>182</v>
      </c>
      <c r="D9" s="48" t="s">
        <v>183</v>
      </c>
    </row>
    <row r="10" spans="1:4" ht="15" customHeight="1" x14ac:dyDescent="0.3">
      <c r="A10" s="48" t="s">
        <v>142</v>
      </c>
      <c r="B10" s="48" t="s">
        <v>184</v>
      </c>
      <c r="C10" s="48" t="s">
        <v>185</v>
      </c>
      <c r="D10" s="48" t="s">
        <v>183</v>
      </c>
    </row>
    <row r="11" spans="1:4" ht="15" customHeight="1" x14ac:dyDescent="0.3">
      <c r="A11" s="48" t="s">
        <v>153</v>
      </c>
      <c r="B11" s="48" t="s">
        <v>186</v>
      </c>
      <c r="C11" s="48" t="s">
        <v>185</v>
      </c>
      <c r="D11" s="48" t="s">
        <v>183</v>
      </c>
    </row>
    <row r="12" spans="1:4" ht="15" customHeight="1" x14ac:dyDescent="0.3">
      <c r="A12" s="47" t="s">
        <v>187</v>
      </c>
    </row>
    <row r="13" spans="1:4" ht="23.25" customHeight="1" x14ac:dyDescent="0.3">
      <c r="A13" s="48" t="s">
        <v>188</v>
      </c>
    </row>
    <row r="14" spans="1:4" ht="15" customHeight="1" x14ac:dyDescent="0.3">
      <c r="A14" s="49" t="s">
        <v>172</v>
      </c>
      <c r="B14" s="49" t="s">
        <v>189</v>
      </c>
      <c r="C14" s="49" t="s">
        <v>190</v>
      </c>
      <c r="D14" s="31"/>
    </row>
    <row r="15" spans="1:4" ht="15" customHeight="1" x14ac:dyDescent="0.3">
      <c r="A15" s="48" t="s">
        <v>135</v>
      </c>
      <c r="B15" s="48" t="s">
        <v>191</v>
      </c>
      <c r="C15" s="48" t="s">
        <v>181</v>
      </c>
    </row>
    <row r="16" spans="1:4" ht="23.25" customHeight="1" x14ac:dyDescent="0.3">
      <c r="B16" s="48" t="s">
        <v>192</v>
      </c>
      <c r="C16" s="48" t="s">
        <v>193</v>
      </c>
    </row>
    <row r="17" spans="1:4" ht="15" customHeight="1" x14ac:dyDescent="0.3">
      <c r="A17" s="48" t="s">
        <v>139</v>
      </c>
      <c r="B17" s="48" t="s">
        <v>194</v>
      </c>
      <c r="C17" s="48" t="s">
        <v>195</v>
      </c>
    </row>
    <row r="18" spans="1:4" ht="15" customHeight="1" x14ac:dyDescent="0.3">
      <c r="A18" s="48" t="s">
        <v>117</v>
      </c>
      <c r="B18" s="48" t="s">
        <v>194</v>
      </c>
      <c r="C18" s="48" t="s">
        <v>195</v>
      </c>
    </row>
    <row r="19" spans="1:4" ht="15" customHeight="1" x14ac:dyDescent="0.3">
      <c r="A19" s="48" t="s">
        <v>152</v>
      </c>
      <c r="B19" s="48" t="s">
        <v>194</v>
      </c>
      <c r="C19" s="48" t="s">
        <v>196</v>
      </c>
    </row>
    <row r="20" spans="1:4" ht="15" customHeight="1" x14ac:dyDescent="0.3">
      <c r="A20" s="48" t="s">
        <v>130</v>
      </c>
      <c r="B20" s="48" t="s">
        <v>194</v>
      </c>
      <c r="C20" s="48" t="s">
        <v>196</v>
      </c>
    </row>
    <row r="21" spans="1:4" ht="15" customHeight="1" x14ac:dyDescent="0.3">
      <c r="A21" s="48" t="s">
        <v>163</v>
      </c>
      <c r="B21" s="48" t="s">
        <v>194</v>
      </c>
      <c r="C21" s="48" t="s">
        <v>197</v>
      </c>
    </row>
    <row r="22" spans="1:4" ht="15" customHeight="1" x14ac:dyDescent="0.3">
      <c r="A22" s="48" t="s">
        <v>108</v>
      </c>
      <c r="B22" s="48" t="s">
        <v>194</v>
      </c>
      <c r="C22" s="48" t="s">
        <v>198</v>
      </c>
    </row>
    <row r="23" spans="1:4" ht="15" customHeight="1" x14ac:dyDescent="0.3">
      <c r="A23" s="47" t="s">
        <v>199</v>
      </c>
    </row>
    <row r="24" spans="1:4" ht="23.25" customHeight="1" x14ac:dyDescent="0.3">
      <c r="A24" s="48" t="s">
        <v>200</v>
      </c>
    </row>
    <row r="25" spans="1:4" ht="15" customHeight="1" x14ac:dyDescent="0.3">
      <c r="A25" s="49" t="s">
        <v>172</v>
      </c>
      <c r="B25" s="49" t="s">
        <v>190</v>
      </c>
      <c r="C25" s="31"/>
      <c r="D25" s="31"/>
    </row>
    <row r="26" spans="1:4" ht="15" customHeight="1" x14ac:dyDescent="0.3">
      <c r="A26" s="48" t="s">
        <v>157</v>
      </c>
      <c r="B26" s="48" t="s">
        <v>201</v>
      </c>
    </row>
    <row r="27" spans="1:4" ht="15" customHeight="1" x14ac:dyDescent="0.3">
      <c r="A27" s="48" t="s">
        <v>159</v>
      </c>
      <c r="B27" s="48" t="s">
        <v>202</v>
      </c>
    </row>
    <row r="28" spans="1:4" ht="15" customHeight="1" x14ac:dyDescent="0.3">
      <c r="A28" s="48" t="s">
        <v>126</v>
      </c>
      <c r="B28" s="48" t="s">
        <v>203</v>
      </c>
    </row>
    <row r="29" spans="1:4" ht="15" customHeight="1" x14ac:dyDescent="0.3">
      <c r="A29" s="48" t="s">
        <v>166</v>
      </c>
      <c r="B29" s="48" t="s">
        <v>203</v>
      </c>
    </row>
    <row r="30" spans="1:4" ht="15" customHeight="1" x14ac:dyDescent="0.3">
      <c r="A30" s="48" t="s">
        <v>115</v>
      </c>
      <c r="B30" s="48" t="s">
        <v>204</v>
      </c>
    </row>
    <row r="31" spans="1:4" ht="15" customHeight="1" x14ac:dyDescent="0.3">
      <c r="A31" s="48" t="s">
        <v>132</v>
      </c>
      <c r="B31" s="48" t="s">
        <v>204</v>
      </c>
    </row>
    <row r="32" spans="1:4" ht="15" customHeight="1" x14ac:dyDescent="0.3">
      <c r="A32" s="48" t="s">
        <v>205</v>
      </c>
      <c r="B32" s="48" t="s">
        <v>204</v>
      </c>
    </row>
    <row r="33" spans="1:2" ht="15" customHeight="1" x14ac:dyDescent="0.3">
      <c r="A33" s="48" t="s">
        <v>150</v>
      </c>
      <c r="B33" s="48" t="s">
        <v>204</v>
      </c>
    </row>
    <row r="34" spans="1:2" ht="15" customHeight="1" x14ac:dyDescent="0.3">
      <c r="A34" s="48" t="s">
        <v>134</v>
      </c>
      <c r="B34" s="48" t="s">
        <v>204</v>
      </c>
    </row>
    <row r="35" spans="1:2" ht="15" customHeight="1" x14ac:dyDescent="0.3">
      <c r="A35" s="48" t="s">
        <v>121</v>
      </c>
      <c r="B35" s="48" t="s">
        <v>204</v>
      </c>
    </row>
    <row r="36" spans="1:2" ht="15" customHeight="1" x14ac:dyDescent="0.3">
      <c r="A36" s="48" t="s">
        <v>165</v>
      </c>
      <c r="B36" s="48" t="s">
        <v>204</v>
      </c>
    </row>
    <row r="37" spans="1:2" ht="34.5" customHeight="1" x14ac:dyDescent="0.3">
      <c r="A37" s="48" t="s">
        <v>206</v>
      </c>
    </row>
  </sheetData>
  <mergeCells count="1">
    <mergeCell ref="A2:D2"/>
  </mergeCells>
  <pageMargins left="0.75" right="0.75" top="1" bottom="1" header="0.511811023622047" footer="0.5"/>
  <pageSetup orientation="portrait" horizontalDpi="300" verticalDpi="300"/>
  <headerFooter>
    <oddFooter>&amp;L&amp;8 Company Avenue Advisory Private Limited&amp;R&amp;8 Page &amp;P of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  <pageSetUpPr fitToPage="1"/>
  </sheetPr>
  <dimension ref="B2:D18"/>
  <sheetViews>
    <sheetView showGridLines="0" zoomScaleNormal="100" workbookViewId="0">
      <pane xSplit="1" ySplit="5" topLeftCell="B6" activePane="bottomRight" state="frozen"/>
      <selection pane="topRight" activeCell="B1" sqref="B1"/>
      <selection pane="bottomLeft" activeCell="A6" sqref="A6"/>
      <selection pane="bottomRight"/>
    </sheetView>
  </sheetViews>
  <sheetFormatPr defaultColWidth="8.6640625" defaultRowHeight="14.4" x14ac:dyDescent="0.3"/>
  <cols>
    <col min="1" max="1" width="3" customWidth="1"/>
    <col min="2" max="2" width="40" customWidth="1"/>
    <col min="3" max="3" width="18" customWidth="1"/>
    <col min="4" max="4" width="88" customWidth="1"/>
  </cols>
  <sheetData>
    <row r="2" spans="2:4" ht="15.75" customHeight="1" x14ac:dyDescent="0.3">
      <c r="B2" s="28" t="s">
        <v>207</v>
      </c>
    </row>
    <row r="3" spans="2:4" ht="25.5" customHeight="1" x14ac:dyDescent="0.3">
      <c r="B3" s="1" t="s">
        <v>208</v>
      </c>
      <c r="C3" s="1"/>
      <c r="D3" s="1"/>
    </row>
    <row r="5" spans="2:4" ht="21.75" customHeight="1" x14ac:dyDescent="0.3">
      <c r="B5" s="50" t="s">
        <v>209</v>
      </c>
      <c r="C5" s="50" t="s">
        <v>210</v>
      </c>
      <c r="D5" s="50" t="s">
        <v>211</v>
      </c>
    </row>
    <row r="6" spans="2:4" ht="45.75" customHeight="1" x14ac:dyDescent="0.3">
      <c r="B6" s="32" t="s">
        <v>212</v>
      </c>
      <c r="C6" s="51" t="s">
        <v>213</v>
      </c>
      <c r="D6" s="35" t="s">
        <v>214</v>
      </c>
    </row>
    <row r="7" spans="2:4" ht="45.75" customHeight="1" x14ac:dyDescent="0.3">
      <c r="B7" s="38" t="s">
        <v>215</v>
      </c>
      <c r="C7" s="52" t="s">
        <v>213</v>
      </c>
      <c r="D7" s="41" t="s">
        <v>216</v>
      </c>
    </row>
    <row r="8" spans="2:4" ht="45.75" customHeight="1" x14ac:dyDescent="0.3">
      <c r="B8" s="32" t="s">
        <v>217</v>
      </c>
      <c r="C8" s="51" t="s">
        <v>213</v>
      </c>
      <c r="D8" s="35" t="s">
        <v>218</v>
      </c>
    </row>
    <row r="9" spans="2:4" ht="45.75" customHeight="1" x14ac:dyDescent="0.3">
      <c r="B9" s="38" t="s">
        <v>219</v>
      </c>
      <c r="C9" s="52" t="s">
        <v>213</v>
      </c>
      <c r="D9" s="41" t="s">
        <v>220</v>
      </c>
    </row>
    <row r="10" spans="2:4" ht="45.75" customHeight="1" x14ac:dyDescent="0.3">
      <c r="B10" s="32" t="s">
        <v>221</v>
      </c>
      <c r="C10" s="51" t="s">
        <v>213</v>
      </c>
      <c r="D10" s="35" t="s">
        <v>222</v>
      </c>
    </row>
    <row r="11" spans="2:4" ht="45.75" customHeight="1" x14ac:dyDescent="0.3">
      <c r="B11" s="38" t="s">
        <v>223</v>
      </c>
      <c r="C11" s="53" t="s">
        <v>224</v>
      </c>
      <c r="D11" s="41" t="s">
        <v>225</v>
      </c>
    </row>
    <row r="12" spans="2:4" ht="45.75" customHeight="1" x14ac:dyDescent="0.3">
      <c r="B12" s="32" t="s">
        <v>226</v>
      </c>
      <c r="C12" s="54" t="s">
        <v>227</v>
      </c>
      <c r="D12" s="35" t="s">
        <v>228</v>
      </c>
    </row>
    <row r="13" spans="2:4" ht="45.75" customHeight="1" x14ac:dyDescent="0.3">
      <c r="B13" s="38" t="s">
        <v>229</v>
      </c>
      <c r="C13" s="52" t="s">
        <v>230</v>
      </c>
      <c r="D13" s="41" t="s">
        <v>231</v>
      </c>
    </row>
    <row r="14" spans="2:4" ht="45.75" customHeight="1" x14ac:dyDescent="0.3">
      <c r="B14" s="32" t="s">
        <v>232</v>
      </c>
      <c r="C14" s="54" t="s">
        <v>233</v>
      </c>
      <c r="D14" s="35" t="s">
        <v>234</v>
      </c>
    </row>
    <row r="15" spans="2:4" ht="45.75" customHeight="1" x14ac:dyDescent="0.3">
      <c r="B15" s="38" t="s">
        <v>235</v>
      </c>
      <c r="C15" s="53" t="s">
        <v>236</v>
      </c>
      <c r="D15" s="41" t="s">
        <v>237</v>
      </c>
    </row>
    <row r="16" spans="2:4" ht="45.75" customHeight="1" x14ac:dyDescent="0.3">
      <c r="B16" s="32" t="s">
        <v>238</v>
      </c>
      <c r="C16" s="54" t="s">
        <v>233</v>
      </c>
      <c r="D16" s="35" t="s">
        <v>239</v>
      </c>
    </row>
    <row r="17" spans="2:4" ht="45.75" customHeight="1" x14ac:dyDescent="0.3">
      <c r="B17" s="38" t="s">
        <v>240</v>
      </c>
      <c r="C17" s="53" t="s">
        <v>241</v>
      </c>
      <c r="D17" s="41" t="s">
        <v>242</v>
      </c>
    </row>
    <row r="18" spans="2:4" ht="45.75" customHeight="1" x14ac:dyDescent="0.3">
      <c r="B18" s="32" t="s">
        <v>243</v>
      </c>
      <c r="C18" s="54" t="s">
        <v>241</v>
      </c>
      <c r="D18" s="35" t="s">
        <v>244</v>
      </c>
    </row>
  </sheetData>
  <mergeCells count="1">
    <mergeCell ref="B3:D3"/>
  </mergeCells>
  <pageMargins left="0.75" right="0.75" top="1" bottom="1" header="0.511811023622047" footer="0.5"/>
  <pageSetup orientation="landscape" horizontalDpi="300" verticalDpi="300"/>
  <headerFooter>
    <oddFooter>&amp;L&amp;8 Company Avenue Advisory Private Limited&amp;R&amp;8 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LLP Calculator</vt:lpstr>
      <vt:lpstr>MCA Fees LLP</vt:lpstr>
      <vt:lpstr>LLP Stamp Duty</vt:lpstr>
      <vt:lpstr>Stamp Duty Source</vt:lpstr>
      <vt:lpstr>Notes &amp; Verification</vt:lpstr>
      <vt:lpstr>LLPStateList</vt:lpstr>
      <vt:lpstr>'LLP Calculator'!Print_Area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DELL</cp:lastModifiedBy>
  <cp:revision>0</cp:revision>
  <dcterms:created xsi:type="dcterms:W3CDTF">2026-08-26T16:06:47Z</dcterms:created>
  <dcterms:modified xsi:type="dcterms:W3CDTF">2026-08-26T17:41:22Z</dcterms:modified>
  <dc:language>en-US</dc:language>
</cp:coreProperties>
</file>